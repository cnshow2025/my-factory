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貨批" sheetId="2" state="visible" r:id="rId2"/>
    <sheet xmlns:r="http://schemas.openxmlformats.org/officeDocument/2006/relationships" name="機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color rgb="005A6785"/>
      <sz val="10"/>
    </font>
    <font>
      <name val="Arial"/>
      <b val="1"/>
      <color rgb="001E2761"/>
      <sz val="13"/>
    </font>
    <font>
      <name val="Arial"/>
      <b val="1"/>
      <color rgb="0016213E"/>
      <sz val="10"/>
    </font>
    <font>
      <name val="Arial"/>
      <color rgb="0016213E"/>
      <sz val="10"/>
    </font>
    <font>
      <name val="Arial"/>
      <b val="1"/>
      <color rgb="00FFFFFF"/>
      <sz val="10"/>
    </font>
    <font>
      <name val="Arial"/>
      <b val="1"/>
      <color rgb="00C2410C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1C7293"/>
      </patternFill>
    </fill>
    <fill>
      <patternFill patternType="solid">
        <fgColor rgb="00EAF0FA"/>
      </patternFill>
    </fill>
    <fill>
      <patternFill patternType="solid">
        <fgColor rgb="001E2761"/>
      </patternFill>
    </fill>
  </fills>
  <borders count="2">
    <border>
      <left/>
      <right/>
      <top/>
      <bottom/>
      <diagonal/>
    </border>
    <border>
      <left style="thin">
        <color rgb="00C9D2E2"/>
      </left>
      <right style="thin">
        <color rgb="00C9D2E2"/>
      </right>
      <top style="thin">
        <color rgb="00C9D2E2"/>
      </top>
      <bottom style="thin">
        <color rgb="00C9D2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5" fillId="3" borderId="1" pivotButton="0" quotePrefix="0" xfId="0"/>
    <xf numFmtId="0" fontId="6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MyFactory</author>
  </authors>
  <commentList>
    <comment ref="A1" authorId="0" shapeId="0">
      <text>
        <t>批號
必填。不可重複，直接用現場批號。</t>
      </text>
    </comment>
    <comment ref="B1" authorId="0" shapeId="0">
      <text>
        <t>封裝／Kit 代號
必填。同代號＝同一套 Kit；換到不同代號才要換 Kit（60 分）。</t>
      </text>
    </comment>
    <comment ref="C1" authorId="0" shapeId="0">
      <text>
        <t>測試程式
必填。package 相同但 program 不同＝只換程式（30 分）。</t>
      </text>
    </comment>
    <comment ref="D1" authorId="0" shapeId="0">
      <text>
        <t>顆數
必填。</t>
      </text>
    </comment>
    <comment ref="E1" authorId="0" shapeId="0">
      <text>
        <t>單 site 單顆測試秒數
必填。不是整批時間，也不是多 site 的等效時間。</t>
      </text>
    </comment>
    <comment ref="F1" authorId="0" shapeId="0">
      <text>
        <t>到廠時間（小時）
選填。以「現在」為 0。空白＝已經在 WIP 裡。</t>
      </text>
    </comment>
    <comment ref="G1" authorId="0" shapeId="0">
      <text>
        <t>交期（小時）
選填。以「現在」為 0。空白＝這批不看交期。</t>
      </text>
    </comment>
    <comment ref="H1" authorId="0" shapeId="0">
      <text>
        <t>急件
選填。Y＝急件可插單；空白或 N＝一般批。</t>
      </text>
    </comment>
    <comment ref="I1" authorId="0" shapeId="0">
      <text>
        <t>良率 %
選填。填了就用這個值；空白＝用參數的隨機區間。</t>
      </text>
    </comment>
    <comment ref="J1" authorId="0" shapeId="0">
      <text>
        <t>備註
選填。不影響模擬。</t>
      </text>
    </comment>
  </commentList>
</comments>
</file>

<file path=xl/comments/comment2.xml><?xml version="1.0" encoding="utf-8"?>
<comments xmlns="http://schemas.openxmlformats.org/spreadsheetml/2006/main">
  <authors>
    <author>MyFactory</author>
  </authors>
  <commentList>
    <comment ref="A1" authorId="0" shapeId="0">
      <text>
        <t>機台名稱
必填。</t>
      </text>
    </comment>
    <comment ref="B1" authorId="0" shapeId="0">
      <text>
        <t>site 數
必填。直接當速度倍率：8 site 填 8，同一批只要 1 site 的 1/8 時間。</t>
      </text>
    </comment>
    <comment ref="C1" authorId="0" shapeId="0">
      <text>
        <t>目前裝的 Kit
選填。填 package 代號。空白＝空機，第一批要先換 Kit。</t>
      </text>
    </comment>
    <comment ref="D1" authorId="0" shapeId="0">
      <text>
        <t>目前載入的程式
選填。空白＝沒有程式，第一批要載入。</t>
      </text>
    </comment>
    <comment ref="E1" authorId="0" shapeId="0">
      <text>
        <t>能測的封裝
選填。用直線 | 分隔，例如 QFN48|QFN32。空白＝全部都能測。</t>
      </text>
    </comment>
    <comment ref="F1" authorId="0" shapeId="0">
      <text>
        <t>幾小時後空出來
選填。正在跑別的貨或保養中。空白＝現在就能用。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62" customWidth="1" min="3" max="3"/>
    <col width="26" customWidth="1" min="4" max="4"/>
  </cols>
  <sheetData>
    <row r="1">
      <c r="A1" s="1" t="inlineStr">
        <is>
          <t>MyFactory 實際貨批模擬 — 填寫範本</t>
        </is>
      </c>
    </row>
    <row r="2">
      <c r="A2" s="2" t="inlineStr">
        <is>
          <t>填好這份檔案後載入模擬器，就會用你真實的 WIP 跑各種排程法則，比較「這批貨全部做完要多久」。</t>
        </is>
      </c>
    </row>
    <row r="4">
      <c r="A4" s="3" t="inlineStr">
        <is>
          <t>怎麼填</t>
        </is>
      </c>
    </row>
    <row r="5">
      <c r="A5" s="4" t="inlineStr">
        <is>
          <t>「貨批」分頁</t>
        </is>
      </c>
      <c r="C5" s="5" t="inlineStr">
        <is>
          <t>一列一批待測貨。把現場 WIP 清單貼進來，必填欄位不能空白。</t>
        </is>
      </c>
    </row>
    <row r="6">
      <c r="A6" s="4" t="inlineStr">
        <is>
          <t>「機台」分頁</t>
        </is>
      </c>
      <c r="C6" s="5" t="inlineStr">
        <is>
          <t>一列一台測試機，包含它現在裝著什麼 Kit、載著什麼程式。</t>
        </is>
      </c>
    </row>
    <row r="7">
      <c r="A7" s="4" t="inlineStr">
        <is>
          <t>藍色字的範例列</t>
        </is>
      </c>
      <c r="C7" s="5" t="inlineStr">
        <is>
          <t>第 2 列起的藍色字是範例，照格式填好自己的資料後把它們刪掉。</t>
        </is>
      </c>
    </row>
    <row r="8">
      <c r="A8" s="4" t="inlineStr">
        <is>
          <t>欄位標題</t>
        </is>
      </c>
      <c r="C8" s="5" t="inlineStr">
        <is>
          <t>滑鼠移到標題格會跳出這個欄位的中文說明。</t>
        </is>
      </c>
    </row>
    <row r="9">
      <c r="A9" s="4" t="inlineStr">
        <is>
          <t>代號自由命名</t>
        </is>
      </c>
      <c r="C9" s="5" t="inlineStr">
        <is>
          <t>package / program 直接用你現場的名字，種類多少都可以，模擬器會自動吃進去。</t>
        </is>
      </c>
    </row>
    <row r="11">
      <c r="A11" s="3" t="inlineStr">
        <is>
          <t>貨批 — 欄位說明</t>
        </is>
      </c>
    </row>
    <row r="12">
      <c r="A12" s="6" t="inlineStr">
        <is>
          <t>欄位</t>
        </is>
      </c>
      <c r="B12" s="6" t="inlineStr">
        <is>
          <t>必填</t>
        </is>
      </c>
      <c r="C12" s="6" t="inlineStr">
        <is>
          <t>說明</t>
        </is>
      </c>
      <c r="D12" s="6" t="inlineStr">
        <is>
          <t>範例</t>
        </is>
      </c>
    </row>
    <row r="13">
      <c r="A13" s="7" t="inlineStr">
        <is>
          <t>lot_id</t>
        </is>
      </c>
      <c r="B13" s="8" t="inlineStr">
        <is>
          <t>必填</t>
        </is>
      </c>
      <c r="C13" s="9" t="inlineStr">
        <is>
          <t>批號，不可重複。直接用現場批號。</t>
        </is>
      </c>
      <c r="D13" s="9" t="inlineStr">
        <is>
          <t>LOT-0001</t>
        </is>
      </c>
    </row>
    <row r="14">
      <c r="A14" s="7" t="inlineStr">
        <is>
          <t>package</t>
        </is>
      </c>
      <c r="B14" s="8" t="inlineStr">
        <is>
          <t>必填</t>
        </is>
      </c>
      <c r="C14" s="9" t="inlineStr">
        <is>
          <t>封裝／Kit 代號。同代號＝同一套 Kit，換到不同代號才要換 Kit（60 分）。</t>
        </is>
      </c>
      <c r="D14" s="9" t="inlineStr">
        <is>
          <t>QFN48</t>
        </is>
      </c>
    </row>
    <row r="15">
      <c r="A15" s="7" t="inlineStr">
        <is>
          <t>program</t>
        </is>
      </c>
      <c r="B15" s="8" t="inlineStr">
        <is>
          <t>必填</t>
        </is>
      </c>
      <c r="C15" s="9" t="inlineStr">
        <is>
          <t>測試程式名稱或版本。package 相同但 program 不同＝只換程式（30 分）。</t>
        </is>
      </c>
      <c r="D15" s="9" t="inlineStr">
        <is>
          <t>MCU01_V3</t>
        </is>
      </c>
    </row>
    <row r="16">
      <c r="A16" s="7" t="inlineStr">
        <is>
          <t>qty</t>
        </is>
      </c>
      <c r="B16" s="8" t="inlineStr">
        <is>
          <t>必填</t>
        </is>
      </c>
      <c r="C16" s="9" t="inlineStr">
        <is>
          <t>這批的顆數。</t>
        </is>
      </c>
      <c r="D16" s="9" t="inlineStr">
        <is>
          <t>8000</t>
        </is>
      </c>
    </row>
    <row r="17">
      <c r="A17" s="7" t="inlineStr">
        <is>
          <t>tpu_sec</t>
        </is>
      </c>
      <c r="B17" s="8" t="inlineStr">
        <is>
          <t>必填</t>
        </is>
      </c>
      <c r="C17" s="9" t="inlineStr">
        <is>
          <t>單一 site 測一顆要幾秒。不是整批時間，也不是多 site 的等效時間。</t>
        </is>
      </c>
      <c r="D17" s="9" t="inlineStr">
        <is>
          <t>2.1</t>
        </is>
      </c>
    </row>
    <row r="18">
      <c r="A18" s="7" t="inlineStr">
        <is>
          <t>arrive_h</t>
        </is>
      </c>
      <c r="B18" s="9" t="inlineStr">
        <is>
          <t>選填</t>
        </is>
      </c>
      <c r="C18" s="9" t="inlineStr">
        <is>
          <t>到廠時間，以「現在」為 0 的小時數。空白＝已經在 WIP 裡等著。</t>
        </is>
      </c>
      <c r="D18" s="9" t="inlineStr">
        <is>
          <t>0</t>
        </is>
      </c>
    </row>
    <row r="19">
      <c r="A19" s="7" t="inlineStr">
        <is>
          <t>due_h</t>
        </is>
      </c>
      <c r="B19" s="9" t="inlineStr">
        <is>
          <t>選填</t>
        </is>
      </c>
      <c r="C19" s="9" t="inlineStr">
        <is>
          <t>交期，同樣以現在為 0 的小時數。空白＝這批不看交期。</t>
        </is>
      </c>
      <c r="D19" s="9" t="inlineStr">
        <is>
          <t>36</t>
        </is>
      </c>
    </row>
    <row r="20">
      <c r="A20" s="7" t="inlineStr">
        <is>
          <t>hot</t>
        </is>
      </c>
      <c r="B20" s="9" t="inlineStr">
        <is>
          <t>選填</t>
        </is>
      </c>
      <c r="C20" s="9" t="inlineStr">
        <is>
          <t>Y＝急件（可插單）。空白或 N＝一般批。</t>
        </is>
      </c>
      <c r="D20" s="9" t="inlineStr">
        <is>
          <t>N</t>
        </is>
      </c>
    </row>
    <row r="21">
      <c r="A21" s="7" t="inlineStr">
        <is>
          <t>yield_pct</t>
        </is>
      </c>
      <c r="B21" s="9" t="inlineStr">
        <is>
          <t>選填</t>
        </is>
      </c>
      <c r="C21" s="9" t="inlineStr">
        <is>
          <t>這個料號的實際良率百分比。空白＝用參數設定的隨機區間。</t>
        </is>
      </c>
      <c r="D21" s="9" t="inlineStr">
        <is>
          <t>96.5</t>
        </is>
      </c>
    </row>
    <row r="22">
      <c r="A22" s="7" t="inlineStr">
        <is>
          <t>note</t>
        </is>
      </c>
      <c r="B22" s="9" t="inlineStr">
        <is>
          <t>選填</t>
        </is>
      </c>
      <c r="C22" s="9" t="inlineStr">
        <is>
          <t>備註，不影響模擬結果。</t>
        </is>
      </c>
      <c r="D22" s="9" t="inlineStr">
        <is>
          <t>主力機種</t>
        </is>
      </c>
    </row>
    <row r="24">
      <c r="A24" s="3" t="inlineStr">
        <is>
          <t>機台 — 欄位說明</t>
        </is>
      </c>
    </row>
    <row r="25">
      <c r="A25" s="6" t="inlineStr">
        <is>
          <t>欄位</t>
        </is>
      </c>
      <c r="B25" s="6" t="inlineStr">
        <is>
          <t>必填</t>
        </is>
      </c>
      <c r="C25" s="6" t="inlineStr">
        <is>
          <t>說明</t>
        </is>
      </c>
      <c r="D25" s="6" t="inlineStr">
        <is>
          <t>範例</t>
        </is>
      </c>
    </row>
    <row r="26">
      <c r="A26" s="7" t="inlineStr">
        <is>
          <t>machine_id</t>
        </is>
      </c>
      <c r="B26" s="8" t="inlineStr">
        <is>
          <t>必填</t>
        </is>
      </c>
      <c r="C26" s="9" t="inlineStr">
        <is>
          <t>機台名稱。</t>
        </is>
      </c>
      <c r="D26" s="9" t="inlineStr">
        <is>
          <t>T01</t>
        </is>
      </c>
    </row>
    <row r="27">
      <c r="A27" s="7" t="inlineStr">
        <is>
          <t>sites</t>
        </is>
      </c>
      <c r="B27" s="8" t="inlineStr">
        <is>
          <t>必填</t>
        </is>
      </c>
      <c r="C27" s="9" t="inlineStr">
        <is>
          <t>site 數，直接當速度倍率。8 site 的機台填 8，同一批只要 1 site 的 1/8 時間。</t>
        </is>
      </c>
      <c r="D27" s="9" t="inlineStr">
        <is>
          <t>8</t>
        </is>
      </c>
    </row>
    <row r="28">
      <c r="A28" s="7" t="inlineStr">
        <is>
          <t>kit_now</t>
        </is>
      </c>
      <c r="B28" s="9" t="inlineStr">
        <is>
          <t>選填</t>
        </is>
      </c>
      <c r="C28" s="9" t="inlineStr">
        <is>
          <t>現在機台上裝著的 Kit，填 package 代號。空白＝空機，第一批要先換 Kit。</t>
        </is>
      </c>
      <c r="D28" s="9" t="inlineStr">
        <is>
          <t>QFN48</t>
        </is>
      </c>
    </row>
    <row r="29">
      <c r="A29" s="7" t="inlineStr">
        <is>
          <t>prog_now</t>
        </is>
      </c>
      <c r="B29" s="9" t="inlineStr">
        <is>
          <t>選填</t>
        </is>
      </c>
      <c r="C29" s="9" t="inlineStr">
        <is>
          <t>現在載入的測試程式。空白＝沒有程式，第一批要載入。</t>
        </is>
      </c>
      <c r="D29" s="9" t="inlineStr">
        <is>
          <t>MCU01_V3</t>
        </is>
      </c>
    </row>
    <row r="30">
      <c r="A30" s="7" t="inlineStr">
        <is>
          <t>can_packages</t>
        </is>
      </c>
      <c r="B30" s="9" t="inlineStr">
        <is>
          <t>選填</t>
        </is>
      </c>
      <c r="C30" s="9" t="inlineStr">
        <is>
          <t>這台能測哪些封裝，用直線 | 分隔。空白＝全部都能測。</t>
        </is>
      </c>
      <c r="D30" s="9" t="inlineStr">
        <is>
          <t>QFN48|QFN32</t>
        </is>
      </c>
    </row>
    <row r="31">
      <c r="A31" s="7" t="inlineStr">
        <is>
          <t>available_at_h</t>
        </is>
      </c>
      <c r="B31" s="9" t="inlineStr">
        <is>
          <t>選填</t>
        </is>
      </c>
      <c r="C31" s="9" t="inlineStr">
        <is>
          <t>幾小時後才空出來（正在跑別的貨、保養中）。空白＝現在就能用。</t>
        </is>
      </c>
      <c r="D31" s="9" t="inlineStr">
        <is>
          <t>0</t>
        </is>
      </c>
    </row>
    <row r="34">
      <c r="A34" s="3" t="inlineStr">
        <is>
          <t>填完自動檢查（不用手動算，改資料會跟著變）</t>
        </is>
      </c>
    </row>
    <row r="35">
      <c r="A35" s="6" t="inlineStr">
        <is>
          <t>項目</t>
        </is>
      </c>
      <c r="B35" s="6" t="inlineStr"/>
      <c r="C35" s="6" t="inlineStr">
        <is>
          <t>數值</t>
        </is>
      </c>
      <c r="D35" s="6" t="inlineStr">
        <is>
          <t>單位</t>
        </is>
      </c>
    </row>
    <row r="36">
      <c r="A36" s="4" t="inlineStr">
        <is>
          <t>貨批筆數</t>
        </is>
      </c>
      <c r="C36" s="10">
        <f>COUNTA(貨批!A2:A2000)</f>
        <v/>
      </c>
      <c r="D36" s="2" t="inlineStr">
        <is>
          <t>筆</t>
        </is>
      </c>
    </row>
    <row r="37">
      <c r="A37" s="4" t="inlineStr">
        <is>
          <t>總顆數</t>
        </is>
      </c>
      <c r="C37" s="10">
        <f>SUM(貨批!D2:D2000)</f>
        <v/>
      </c>
      <c r="D37" s="2" t="inlineStr">
        <is>
          <t>顆</t>
        </is>
      </c>
    </row>
    <row r="38">
      <c r="A38" s="4" t="inlineStr">
        <is>
          <t>純測試工時（1 site）</t>
        </is>
      </c>
      <c r="C38" s="10">
        <f>SUMPRODUCT(貨批!D2:D2000,貨批!E2:E2000)/3600</f>
        <v/>
      </c>
      <c r="D38" s="2" t="inlineStr">
        <is>
          <t>小時</t>
        </is>
      </c>
    </row>
    <row r="39">
      <c r="A39" s="4" t="inlineStr">
        <is>
          <t>機台台數</t>
        </is>
      </c>
      <c r="C39" s="10">
        <f>COUNTA(機台!A2:A200)</f>
        <v/>
      </c>
      <c r="D39" s="2" t="inlineStr">
        <is>
          <t>台</t>
        </is>
      </c>
    </row>
    <row r="40">
      <c r="A40" s="4" t="inlineStr">
        <is>
          <t>機隊等效 site 總數</t>
        </is>
      </c>
      <c r="C40" s="10">
        <f>SUM(機台!B2:B200)</f>
        <v/>
      </c>
      <c r="D40" s="2" t="inlineStr">
        <is>
          <t>site</t>
        </is>
      </c>
    </row>
    <row r="41">
      <c r="A41" s="4" t="inlineStr">
        <is>
          <t>理論最短清空時間</t>
        </is>
      </c>
      <c r="C41" s="10">
        <f>IFERROR(C38/C40,0)</f>
        <v/>
      </c>
      <c r="D41" s="2" t="inlineStr">
        <is>
          <t>小時（不含改機與當機，排程再好也快不過這個）</t>
        </is>
      </c>
    </row>
    <row r="43">
      <c r="A43" s="2" t="inlineStr">
        <is>
          <t>「理論最短清空時間」＝ 純測試工時 ÷ 機隊等效 site 總數。它假設零改機、零當機、機台永遠不閒著，</t>
        </is>
      </c>
    </row>
    <row r="44">
      <c r="A44" s="2" t="inlineStr">
        <is>
          <t>所以實際一定比它長。模擬跑出來的數字離它多遠，就是改機與排程吃掉的部分。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9" customWidth="1" min="4" max="4"/>
    <col width="13" customWidth="1" min="5" max="5"/>
    <col width="12" customWidth="1" min="6" max="6"/>
    <col width="11" customWidth="1" min="7" max="7"/>
    <col width="7" customWidth="1" min="8" max="8"/>
    <col width="10" customWidth="1" min="9" max="9"/>
    <col width="26" customWidth="1" min="10" max="10"/>
  </cols>
  <sheetData>
    <row r="1" ht="22" customHeight="1">
      <c r="A1" s="11" t="inlineStr">
        <is>
          <t>lot_id</t>
        </is>
      </c>
      <c r="B1" s="11" t="inlineStr">
        <is>
          <t>package</t>
        </is>
      </c>
      <c r="C1" s="11" t="inlineStr">
        <is>
          <t>program</t>
        </is>
      </c>
      <c r="D1" s="11" t="inlineStr">
        <is>
          <t>qty</t>
        </is>
      </c>
      <c r="E1" s="11" t="inlineStr">
        <is>
          <t>tpu_sec</t>
        </is>
      </c>
      <c r="F1" s="11" t="inlineStr">
        <is>
          <t>arrive_h</t>
        </is>
      </c>
      <c r="G1" s="11" t="inlineStr">
        <is>
          <t>due_h</t>
        </is>
      </c>
      <c r="H1" s="11" t="inlineStr">
        <is>
          <t>hot</t>
        </is>
      </c>
      <c r="I1" s="11" t="inlineStr">
        <is>
          <t>yield_pct</t>
        </is>
      </c>
      <c r="J1" s="11" t="inlineStr">
        <is>
          <t>note</t>
        </is>
      </c>
    </row>
    <row r="2">
      <c r="A2" s="12" t="inlineStr">
        <is>
          <t>LOT-0001</t>
        </is>
      </c>
      <c r="B2" s="12" t="inlineStr">
        <is>
          <t>QFN48</t>
        </is>
      </c>
      <c r="C2" s="12" t="inlineStr">
        <is>
          <t>MCU01_V3</t>
        </is>
      </c>
      <c r="D2" s="13" t="n">
        <v>8000</v>
      </c>
      <c r="E2" s="13" t="n">
        <v>2.1</v>
      </c>
      <c r="F2" s="13" t="n">
        <v>0</v>
      </c>
      <c r="G2" s="13" t="n">
        <v>36</v>
      </c>
      <c r="H2" s="12" t="inlineStr">
        <is>
          <t>N</t>
        </is>
      </c>
      <c r="I2" s="13" t="n">
        <v>96.5</v>
      </c>
      <c r="J2" s="12" t="inlineStr">
        <is>
          <t>主力機種</t>
        </is>
      </c>
    </row>
    <row r="3">
      <c r="A3" s="12" t="inlineStr">
        <is>
          <t>LOT-0002</t>
        </is>
      </c>
      <c r="B3" s="12" t="inlineStr">
        <is>
          <t>QFN48</t>
        </is>
      </c>
      <c r="C3" s="12" t="inlineStr">
        <is>
          <t>MCU01_V3</t>
        </is>
      </c>
      <c r="D3" s="13" t="n">
        <v>12000</v>
      </c>
      <c r="E3" s="13" t="n">
        <v>2.1</v>
      </c>
      <c r="F3" s="13" t="n">
        <v>0</v>
      </c>
      <c r="G3" s="13" t="n">
        <v>48</v>
      </c>
      <c r="H3" s="12" t="inlineStr">
        <is>
          <t>N</t>
        </is>
      </c>
      <c r="I3" s="13" t="n"/>
      <c r="J3" s="12" t="inlineStr">
        <is>
          <t>同料號續批，不用改機</t>
        </is>
      </c>
    </row>
    <row r="4">
      <c r="A4" s="12" t="inlineStr">
        <is>
          <t>LOT-0003</t>
        </is>
      </c>
      <c r="B4" s="12" t="inlineStr">
        <is>
          <t>QFN32</t>
        </is>
      </c>
      <c r="C4" s="12" t="inlineStr">
        <is>
          <t>PMIC07_V2</t>
        </is>
      </c>
      <c r="D4" s="13" t="n">
        <v>1500</v>
      </c>
      <c r="E4" s="13" t="n">
        <v>3.4</v>
      </c>
      <c r="F4" s="13" t="n">
        <v>0</v>
      </c>
      <c r="G4" s="13" t="n">
        <v>12</v>
      </c>
      <c r="H4" s="12" t="inlineStr">
        <is>
          <t>Y</t>
        </is>
      </c>
      <c r="I4" s="13" t="n">
        <v>92</v>
      </c>
      <c r="J4" s="12" t="inlineStr">
        <is>
          <t>客戶催料</t>
        </is>
      </c>
    </row>
    <row r="5">
      <c r="A5" s="12" t="inlineStr">
        <is>
          <t>LOT-0004</t>
        </is>
      </c>
      <c r="B5" s="12" t="inlineStr">
        <is>
          <t>SOP16</t>
        </is>
      </c>
      <c r="C5" s="12" t="inlineStr">
        <is>
          <t>LED03_V1</t>
        </is>
      </c>
      <c r="D5" s="13" t="n">
        <v>25000</v>
      </c>
      <c r="E5" s="13" t="n">
        <v>1.2</v>
      </c>
      <c r="F5" s="13" t="n">
        <v>6</v>
      </c>
      <c r="G5" s="13" t="n">
        <v>72</v>
      </c>
      <c r="H5" s="12" t="inlineStr">
        <is>
          <t>N</t>
        </is>
      </c>
      <c r="I5" s="13" t="n"/>
      <c r="J5" s="12" t="inlineStr">
        <is>
          <t>6 小時後才到廠</t>
        </is>
      </c>
    </row>
    <row r="6">
      <c r="A6" s="12" t="inlineStr">
        <is>
          <t>LOT-0005</t>
        </is>
      </c>
      <c r="B6" s="12" t="inlineStr">
        <is>
          <t>QFN48</t>
        </is>
      </c>
      <c r="C6" s="12" t="inlineStr">
        <is>
          <t>MCU01_V5</t>
        </is>
      </c>
      <c r="D6" s="13" t="n">
        <v>5000</v>
      </c>
      <c r="E6" s="13" t="n">
        <v>2.3</v>
      </c>
      <c r="F6" s="13" t="n">
        <v>0</v>
      </c>
      <c r="G6" s="13" t="n">
        <v>24</v>
      </c>
      <c r="H6" s="12" t="inlineStr">
        <is>
          <t>N</t>
        </is>
      </c>
      <c r="I6" s="13" t="n"/>
      <c r="J6" s="12" t="inlineStr">
        <is>
          <t>同 Kit 換程式</t>
        </is>
      </c>
    </row>
  </sheetData>
  <dataValidations count="1">
    <dataValidation sqref="H2:H2000" showDropDown="0" showInputMessage="0" showErrorMessage="0" allowBlank="1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4" customWidth="1" min="3" max="3"/>
    <col width="16" customWidth="1" min="4" max="4"/>
    <col width="24" customWidth="1" min="5" max="5"/>
    <col width="17" customWidth="1" min="6" max="6"/>
  </cols>
  <sheetData>
    <row r="1" ht="22" customHeight="1">
      <c r="A1" s="11" t="inlineStr">
        <is>
          <t>machine_id</t>
        </is>
      </c>
      <c r="B1" s="11" t="inlineStr">
        <is>
          <t>sites</t>
        </is>
      </c>
      <c r="C1" s="11" t="inlineStr">
        <is>
          <t>kit_now</t>
        </is>
      </c>
      <c r="D1" s="11" t="inlineStr">
        <is>
          <t>prog_now</t>
        </is>
      </c>
      <c r="E1" s="11" t="inlineStr">
        <is>
          <t>can_packages</t>
        </is>
      </c>
      <c r="F1" s="11" t="inlineStr">
        <is>
          <t>available_at_h</t>
        </is>
      </c>
    </row>
    <row r="2">
      <c r="A2" s="12" t="inlineStr">
        <is>
          <t>T01</t>
        </is>
      </c>
      <c r="B2" s="13" t="n">
        <v>8</v>
      </c>
      <c r="C2" s="12" t="inlineStr">
        <is>
          <t>QFN48</t>
        </is>
      </c>
      <c r="D2" s="12" t="inlineStr">
        <is>
          <t>MCU01_V3</t>
        </is>
      </c>
      <c r="E2" s="12" t="inlineStr">
        <is>
          <t>QFN48|QFN32</t>
        </is>
      </c>
      <c r="F2" s="13" t="n">
        <v>0</v>
      </c>
    </row>
    <row r="3">
      <c r="A3" s="12" t="inlineStr">
        <is>
          <t>T02</t>
        </is>
      </c>
      <c r="B3" s="13" t="n">
        <v>8</v>
      </c>
      <c r="C3" s="12" t="inlineStr">
        <is>
          <t>QFN48</t>
        </is>
      </c>
      <c r="D3" s="12" t="inlineStr">
        <is>
          <t>MCU01_V5</t>
        </is>
      </c>
      <c r="E3" s="12" t="inlineStr">
        <is>
          <t>QFN48|QFN32</t>
        </is>
      </c>
      <c r="F3" s="13" t="n">
        <v>0</v>
      </c>
    </row>
    <row r="4">
      <c r="A4" s="12" t="inlineStr">
        <is>
          <t>T03</t>
        </is>
      </c>
      <c r="B4" s="13" t="n">
        <v>4</v>
      </c>
      <c r="C4" s="12" t="inlineStr">
        <is>
          <t>QFN32</t>
        </is>
      </c>
      <c r="D4" s="12" t="inlineStr">
        <is>
          <t>PMIC07_V2</t>
        </is>
      </c>
      <c r="E4" s="13" t="n"/>
      <c r="F4" s="13" t="n">
        <v>0</v>
      </c>
    </row>
    <row r="5">
      <c r="A5" s="12" t="inlineStr">
        <is>
          <t>T04</t>
        </is>
      </c>
      <c r="B5" s="13" t="n">
        <v>4</v>
      </c>
      <c r="C5" s="13" t="n"/>
      <c r="D5" s="13" t="n"/>
      <c r="E5" s="12" t="inlineStr">
        <is>
          <t>SOP16|TSSOP28</t>
        </is>
      </c>
      <c r="F5" s="13" t="n">
        <v>0</v>
      </c>
    </row>
    <row r="6">
      <c r="A6" s="12" t="inlineStr">
        <is>
          <t>T05</t>
        </is>
      </c>
      <c r="B6" s="13" t="n">
        <v>2</v>
      </c>
      <c r="C6" s="12" t="inlineStr">
        <is>
          <t>SOP16</t>
        </is>
      </c>
      <c r="D6" s="12" t="inlineStr">
        <is>
          <t>LED03_V1</t>
        </is>
      </c>
      <c r="E6" s="12" t="inlineStr">
        <is>
          <t>SOP16</t>
        </is>
      </c>
      <c r="F6" s="13" t="n">
        <v>4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2026-09-20T04:36:19Z</dcterms:created>
  <dcterms:modified xmlns:dcterms="http://purl.org/dc/terms/" xmlns:xsi="http://www.w3.org/2001/XMLSchema-instance" xsi:type="dcterms:W3CDTF">2026-09-20T04:36:19Z</dcterms:modified>
</cp:coreProperties>
</file>