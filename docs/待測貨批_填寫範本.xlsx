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貨批" sheetId="2" state="visible" r:id="rId2"/>
    <sheet xmlns:r="http://schemas.openxmlformats.org/officeDocument/2006/relationships" name="機台" sheetId="3" state="visible" r:id="rId3"/>
    <sheet xmlns:r="http://schemas.openxmlformats.org/officeDocument/2006/relationships" name="能力矩陣" sheetId="4" state="visible" r:id="rId4"/>
    <sheet xmlns:r="http://schemas.openxmlformats.org/officeDocument/2006/relationships" name="配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5A6785"/>
      <sz val="10"/>
    </font>
    <font>
      <name val="Arial"/>
      <b val="1"/>
      <color rgb="001E2761"/>
      <sz val="13"/>
    </font>
    <font>
      <name val="Arial"/>
      <b val="1"/>
      <color rgb="0016213E"/>
      <sz val="10"/>
    </font>
    <font>
      <name val="Arial"/>
      <color rgb="0016213E"/>
      <sz val="10"/>
    </font>
    <font>
      <name val="Arial"/>
      <b val="1"/>
      <color rgb="00FFFFFF"/>
      <sz val="10"/>
    </font>
    <font>
      <name val="Arial"/>
      <b val="1"/>
      <color rgb="00C2410C"/>
      <sz val="10"/>
    </font>
    <font>
      <name val="Arial"/>
      <color rgb="000000FF"/>
      <sz val="10"/>
    </font>
    <font>
      <name val="Arial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C7293"/>
      </patternFill>
    </fill>
    <fill>
      <patternFill patternType="solid">
        <fgColor rgb="00EAF0FA"/>
      </patternFill>
    </fill>
    <fill>
      <patternFill patternType="solid">
        <fgColor rgb="001E2761"/>
      </patternFill>
    </fill>
    <fill>
      <patternFill patternType="solid">
        <fgColor rgb="00FFF1CC"/>
      </patternFill>
    </fill>
    <fill>
      <patternFill patternType="solid">
        <fgColor rgb="00FFE8D9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9D2E2"/>
      </left>
      <right style="thin">
        <color rgb="00C9D2E2"/>
      </right>
      <top style="thin">
        <color rgb="00C9D2E2"/>
      </top>
      <bottom style="thin">
        <color rgb="00C9D2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0" borderId="0" pivotButton="0" quotePrefix="0" xfId="0"/>
    <xf numFmtId="165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MyFactory</author>
  </authors>
  <commentList>
    <comment ref="A1" authorId="0" shapeId="0">
      <text>
        <t>批號
必填。不可重複，直接用現場批號。</t>
      </text>
    </comment>
    <comment ref="B1" authorId="0" shapeId="0">
      <text>
        <t>封裝／Kit 代號
必填。同代號＝同一套 Kit；換到不同代號才要換 Kit（60 分）。</t>
      </text>
    </comment>
    <comment ref="C1" authorId="0" shapeId="0">
      <text>
        <t>測試程式
必填。package 相同但 program 不同＝只換程式（30 分）。</t>
      </text>
    </comment>
    <comment ref="D1" authorId="0" shapeId="0">
      <text>
        <t>顆數
必填。</t>
      </text>
    </comment>
    <comment ref="E1" authorId="0" shapeId="0">
      <text>
        <t>單 site 單顆測試秒數
必填。不是整批時間，也不是多 site 的等效時間。</t>
      </text>
    </comment>
    <comment ref="F1" authorId="0" shapeId="0">
      <text>
        <t>到廠時間（小時）
選填。以「現在」為 0。空白＝已經在 WIP 裡。</t>
      </text>
    </comment>
    <comment ref="G1" authorId="0" shapeId="0">
      <text>
        <t>交期（小時）
選填。以「現在」為 0。空白＝這批不看交期。</t>
      </text>
    </comment>
    <comment ref="H1" authorId="0" shapeId="0">
      <text>
        <t>急件
選填。Y＝急件可插單；空白或 N＝一般批。</t>
      </text>
    </comment>
    <comment ref="I1" authorId="0" shapeId="0">
      <text>
        <t>良率 %
選填。填了就用這個值；空白＝用參數的隨機區間。</t>
      </text>
    </comment>
    <comment ref="J1" authorId="0" shapeId="0">
      <text>
        <t>備註
選填。不影響模擬。</t>
      </text>
    </comment>
  </commentList>
</comments>
</file>

<file path=xl/comments/comment2.xml><?xml version="1.0" encoding="utf-8"?>
<comments xmlns="http://schemas.openxmlformats.org/spreadsheetml/2006/main">
  <authors>
    <author>MyFactory</author>
  </authors>
  <commentList>
    <comment ref="A1" authorId="0" shapeId="0">
      <text>
        <t>機台名稱
必填。</t>
      </text>
    </comment>
    <comment ref="B1" authorId="0" shapeId="0">
      <text>
        <t>site 數
必填。直接當速度倍率：8 site 填 8，同一批只要 1 site 的 1/8 時間。</t>
      </text>
    </comment>
    <comment ref="C1" authorId="0" shapeId="0">
      <text>
        <t>目前裝的 Kit
選填。填 package 代號。空白＝空機，第一批要先換 Kit。</t>
      </text>
    </comment>
    <comment ref="D1" authorId="0" shapeId="0">
      <text>
        <t>目前載入的程式
選填。空白＝沒有程式，第一批要載入。</t>
      </text>
    </comment>
    <comment ref="E1" authorId="0" shapeId="0">
      <text>
        <t>能測的封裝
選填。用直線 | 分隔，例如 QFN48|QFN32。空白＝全部都能測。</t>
      </text>
    </comment>
    <comment ref="F1" authorId="0" shapeId="0">
      <text>
        <t>幾小時後空出來
選填。正在跑別的貨或保養中。空白＝現在就能用。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2" customWidth="1" min="3" max="3"/>
    <col width="30" customWidth="1" min="4" max="4"/>
  </cols>
  <sheetData>
    <row r="1">
      <c r="A1" s="1" t="inlineStr">
        <is>
          <t>MyFactory 實際貨批模擬 — 填寫範本</t>
        </is>
      </c>
    </row>
    <row r="2">
      <c r="A2" s="2" t="inlineStr">
        <is>
          <t>填好這份檔案後載入模擬器，就會用你真實的 WIP 跑各種排程法則，比較「這批貨全部做完要多久」。</t>
        </is>
      </c>
    </row>
    <row r="4">
      <c r="A4" s="3" t="inlineStr">
        <is>
          <t>怎麼填</t>
        </is>
      </c>
    </row>
    <row r="5">
      <c r="A5" s="4" t="inlineStr">
        <is>
          <t>「貨批」分頁</t>
        </is>
      </c>
      <c r="C5" s="5" t="inlineStr">
        <is>
          <t>一列一批待測貨。把現場 WIP 清單貼進來，必填欄位不能空白。</t>
        </is>
      </c>
    </row>
    <row r="6">
      <c r="A6" s="4" t="inlineStr">
        <is>
          <t>「機台」分頁</t>
        </is>
      </c>
      <c r="C6" s="5" t="inlineStr">
        <is>
          <t>一列一台測試機，包含它現在裝著什麼 Kit、載著什麼程式。</t>
        </is>
      </c>
    </row>
    <row r="7">
      <c r="A7" s="4" t="inlineStr">
        <is>
          <t>藍色字的範例列</t>
        </is>
      </c>
      <c r="C7" s="5" t="inlineStr">
        <is>
          <t>第 2 列起的藍色字是範例，照格式填好自己的資料後把它們刪掉。</t>
        </is>
      </c>
    </row>
    <row r="8">
      <c r="A8" s="4" t="inlineStr">
        <is>
          <t>「能力矩陣」分頁</t>
        </is>
      </c>
      <c r="C8" s="5" t="inlineStr">
        <is>
          <t>機台 × 封裝的打勾表。有這頁就以它為準，蓋過「機台」分頁的 can_packages；刪掉整頁就回去讀 can_packages。</t>
        </is>
      </c>
    </row>
    <row r="9">
      <c r="A9" s="4" t="inlineStr">
        <is>
          <t>欄位標題</t>
        </is>
      </c>
      <c r="C9" s="5" t="inlineStr">
        <is>
          <t>滑鼠移到標題格會跳出這個欄位的中文說明。</t>
        </is>
      </c>
    </row>
    <row r="10">
      <c r="A10" s="4" t="inlineStr">
        <is>
          <t>代號自由命名</t>
        </is>
      </c>
      <c r="C10" s="5" t="inlineStr">
        <is>
          <t>package / program 直接用你現場的名字，種類多少都可以，模擬器會自動吃進去。</t>
        </is>
      </c>
    </row>
    <row r="12">
      <c r="A12" s="3" t="inlineStr">
        <is>
          <t>貨批 — 欄位說明</t>
        </is>
      </c>
    </row>
    <row r="13">
      <c r="A13" s="6" t="inlineStr">
        <is>
          <t>欄位</t>
        </is>
      </c>
      <c r="B13" s="6" t="inlineStr">
        <is>
          <t>必填</t>
        </is>
      </c>
      <c r="C13" s="6" t="inlineStr">
        <is>
          <t>說明</t>
        </is>
      </c>
      <c r="D13" s="6" t="inlineStr">
        <is>
          <t>範例</t>
        </is>
      </c>
    </row>
    <row r="14">
      <c r="A14" s="7" t="inlineStr">
        <is>
          <t>lot_id</t>
        </is>
      </c>
      <c r="B14" s="8" t="inlineStr">
        <is>
          <t>必填</t>
        </is>
      </c>
      <c r="C14" s="9" t="inlineStr">
        <is>
          <t>批號，不可重複。直接用現場批號。</t>
        </is>
      </c>
      <c r="D14" s="9" t="inlineStr">
        <is>
          <t>LOT-0001</t>
        </is>
      </c>
    </row>
    <row r="15">
      <c r="A15" s="7" t="inlineStr">
        <is>
          <t>package</t>
        </is>
      </c>
      <c r="B15" s="8" t="inlineStr">
        <is>
          <t>必填</t>
        </is>
      </c>
      <c r="C15" s="9" t="inlineStr">
        <is>
          <t>封裝／Kit 代號。同代號＝同一套 Kit，換到不同代號才要換 Kit（60 分）。</t>
        </is>
      </c>
      <c r="D15" s="9" t="inlineStr">
        <is>
          <t>QFN48</t>
        </is>
      </c>
    </row>
    <row r="16">
      <c r="A16" s="7" t="inlineStr">
        <is>
          <t>program</t>
        </is>
      </c>
      <c r="B16" s="8" t="inlineStr">
        <is>
          <t>必填</t>
        </is>
      </c>
      <c r="C16" s="9" t="inlineStr">
        <is>
          <t>測試程式名稱或版本。package 相同但 program 不同＝只換程式（30 分）。</t>
        </is>
      </c>
      <c r="D16" s="9" t="inlineStr">
        <is>
          <t>MCU01_V3</t>
        </is>
      </c>
    </row>
    <row r="17">
      <c r="A17" s="7" t="inlineStr">
        <is>
          <t>qty</t>
        </is>
      </c>
      <c r="B17" s="8" t="inlineStr">
        <is>
          <t>必填</t>
        </is>
      </c>
      <c r="C17" s="9" t="inlineStr">
        <is>
          <t>這批的顆數。</t>
        </is>
      </c>
      <c r="D17" s="9" t="inlineStr">
        <is>
          <t>8000</t>
        </is>
      </c>
    </row>
    <row r="18">
      <c r="A18" s="7" t="inlineStr">
        <is>
          <t>tpu_sec</t>
        </is>
      </c>
      <c r="B18" s="8" t="inlineStr">
        <is>
          <t>必填</t>
        </is>
      </c>
      <c r="C18" s="9" t="inlineStr">
        <is>
          <t>單一 site 測一顆要幾秒。不是整批時間，也不是多 site 的等效時間。</t>
        </is>
      </c>
      <c r="D18" s="9" t="inlineStr">
        <is>
          <t>2.1</t>
        </is>
      </c>
    </row>
    <row r="19">
      <c r="A19" s="7" t="inlineStr">
        <is>
          <t>arrive_h</t>
        </is>
      </c>
      <c r="B19" s="9" t="inlineStr">
        <is>
          <t>選填</t>
        </is>
      </c>
      <c r="C19" s="9" t="inlineStr">
        <is>
          <t>到廠時間，以「現在」為 0 的小時數。空白＝已經在 WIP 裡等著。</t>
        </is>
      </c>
      <c r="D19" s="9" t="inlineStr">
        <is>
          <t>0</t>
        </is>
      </c>
    </row>
    <row r="20">
      <c r="A20" s="7" t="inlineStr">
        <is>
          <t>due_h</t>
        </is>
      </c>
      <c r="B20" s="9" t="inlineStr">
        <is>
          <t>選填</t>
        </is>
      </c>
      <c r="C20" s="9" t="inlineStr">
        <is>
          <t>交期，同樣以現在為 0 的小時數。空白＝這批不看交期。</t>
        </is>
      </c>
      <c r="D20" s="9" t="inlineStr">
        <is>
          <t>36</t>
        </is>
      </c>
    </row>
    <row r="21">
      <c r="A21" s="7" t="inlineStr">
        <is>
          <t>hot</t>
        </is>
      </c>
      <c r="B21" s="9" t="inlineStr">
        <is>
          <t>選填</t>
        </is>
      </c>
      <c r="C21" s="9" t="inlineStr">
        <is>
          <t>Y＝急件（可插單）。空白或 N＝一般批。</t>
        </is>
      </c>
      <c r="D21" s="9" t="inlineStr">
        <is>
          <t>N</t>
        </is>
      </c>
    </row>
    <row r="22">
      <c r="A22" s="7" t="inlineStr">
        <is>
          <t>yield_pct</t>
        </is>
      </c>
      <c r="B22" s="9" t="inlineStr">
        <is>
          <t>選填</t>
        </is>
      </c>
      <c r="C22" s="9" t="inlineStr">
        <is>
          <t>這個料號的實際良率百分比。空白＝用參數設定的隨機區間。</t>
        </is>
      </c>
      <c r="D22" s="9" t="inlineStr">
        <is>
          <t>96.5</t>
        </is>
      </c>
    </row>
    <row r="23">
      <c r="A23" s="7" t="inlineStr">
        <is>
          <t>note</t>
        </is>
      </c>
      <c r="B23" s="9" t="inlineStr">
        <is>
          <t>選填</t>
        </is>
      </c>
      <c r="C23" s="9" t="inlineStr">
        <is>
          <t>備註，不影響模擬結果。</t>
        </is>
      </c>
      <c r="D23" s="9" t="inlineStr">
        <is>
          <t>主力機種</t>
        </is>
      </c>
    </row>
    <row r="25">
      <c r="A25" s="3" t="inlineStr">
        <is>
          <t>機台 — 欄位說明</t>
        </is>
      </c>
    </row>
    <row r="26">
      <c r="A26" s="6" t="inlineStr">
        <is>
          <t>欄位</t>
        </is>
      </c>
      <c r="B26" s="6" t="inlineStr">
        <is>
          <t>必填</t>
        </is>
      </c>
      <c r="C26" s="6" t="inlineStr">
        <is>
          <t>說明</t>
        </is>
      </c>
      <c r="D26" s="6" t="inlineStr">
        <is>
          <t>範例</t>
        </is>
      </c>
    </row>
    <row r="27">
      <c r="A27" s="7" t="inlineStr">
        <is>
          <t>machine_id</t>
        </is>
      </c>
      <c r="B27" s="8" t="inlineStr">
        <is>
          <t>必填</t>
        </is>
      </c>
      <c r="C27" s="9" t="inlineStr">
        <is>
          <t>機台名稱。</t>
        </is>
      </c>
      <c r="D27" s="9" t="inlineStr">
        <is>
          <t>T01</t>
        </is>
      </c>
    </row>
    <row r="28">
      <c r="A28" s="7" t="inlineStr">
        <is>
          <t>sites</t>
        </is>
      </c>
      <c r="B28" s="8" t="inlineStr">
        <is>
          <t>必填</t>
        </is>
      </c>
      <c r="C28" s="9" t="inlineStr">
        <is>
          <t>site 數，直接當速度倍率。8 site 的機台填 8，同一批只要 1 site 的 1/8 時間。</t>
        </is>
      </c>
      <c r="D28" s="9" t="inlineStr">
        <is>
          <t>8</t>
        </is>
      </c>
    </row>
    <row r="29">
      <c r="A29" s="7" t="inlineStr">
        <is>
          <t>kit_now</t>
        </is>
      </c>
      <c r="B29" s="9" t="inlineStr">
        <is>
          <t>選填</t>
        </is>
      </c>
      <c r="C29" s="9" t="inlineStr">
        <is>
          <t>現在機台上裝著的 Kit，填 package 代號。空白＝空機，第一批要先換 Kit。</t>
        </is>
      </c>
      <c r="D29" s="9" t="inlineStr">
        <is>
          <t>QFN48</t>
        </is>
      </c>
    </row>
    <row r="30">
      <c r="A30" s="7" t="inlineStr">
        <is>
          <t>prog_now</t>
        </is>
      </c>
      <c r="B30" s="9" t="inlineStr">
        <is>
          <t>選填</t>
        </is>
      </c>
      <c r="C30" s="9" t="inlineStr">
        <is>
          <t>現在載入的測試程式。空白＝沒有程式，第一批要載入。</t>
        </is>
      </c>
      <c r="D30" s="9" t="inlineStr">
        <is>
          <t>MCU01_V3</t>
        </is>
      </c>
    </row>
    <row r="31">
      <c r="A31" s="7" t="inlineStr">
        <is>
          <t>can_packages</t>
        </is>
      </c>
      <c r="B31" s="9" t="inlineStr">
        <is>
          <t>選填</t>
        </is>
      </c>
      <c r="C31" s="9" t="inlineStr">
        <is>
          <t>這台能測哪些封裝，用直線 | 分隔。空白＝全部都能測。</t>
        </is>
      </c>
      <c r="D31" s="9" t="inlineStr">
        <is>
          <t>QFN48|QFN32</t>
        </is>
      </c>
    </row>
    <row r="32">
      <c r="A32" s="7" t="inlineStr">
        <is>
          <t>available_at_h</t>
        </is>
      </c>
      <c r="B32" s="9" t="inlineStr">
        <is>
          <t>選填</t>
        </is>
      </c>
      <c r="C32" s="9" t="inlineStr">
        <is>
          <t>幾小時後才空出來（正在跑別的貨、保養中）。空白＝現在就能用。</t>
        </is>
      </c>
      <c r="D32" s="9" t="inlineStr">
        <is>
          <t>0</t>
        </is>
      </c>
    </row>
    <row r="34">
      <c r="A34" s="3" t="inlineStr">
        <is>
          <t>填完自動檢查（不用手動算，改資料會跟著變）</t>
        </is>
      </c>
    </row>
    <row r="35">
      <c r="A35" s="6" t="inlineStr">
        <is>
          <t>項目</t>
        </is>
      </c>
      <c r="B35" s="6" t="inlineStr"/>
      <c r="C35" s="6" t="inlineStr">
        <is>
          <t>數值</t>
        </is>
      </c>
      <c r="D35" s="6" t="inlineStr">
        <is>
          <t>單位</t>
        </is>
      </c>
    </row>
    <row r="36">
      <c r="A36" s="4" t="inlineStr">
        <is>
          <t>貨批筆數</t>
        </is>
      </c>
      <c r="C36" s="10">
        <f>COUNTA(貨批!A2:A5000)</f>
        <v/>
      </c>
      <c r="D36" s="2" t="inlineStr">
        <is>
          <t>筆</t>
        </is>
      </c>
    </row>
    <row r="37">
      <c r="A37" s="4" t="inlineStr">
        <is>
          <t>總顆數</t>
        </is>
      </c>
      <c r="C37" s="10">
        <f>SUM(貨批!D2:D5000)</f>
        <v/>
      </c>
      <c r="D37" s="2" t="inlineStr">
        <is>
          <t>顆</t>
        </is>
      </c>
    </row>
    <row r="38">
      <c r="A38" s="4" t="inlineStr">
        <is>
          <t>純測試工時（1 site）</t>
        </is>
      </c>
      <c r="C38" s="10">
        <f>SUMPRODUCT(貨批!D2:D5000,貨批!E2:E5000)/3600</f>
        <v/>
      </c>
      <c r="D38" s="2" t="inlineStr">
        <is>
          <t>小時</t>
        </is>
      </c>
    </row>
    <row r="39">
      <c r="A39" s="4" t="inlineStr">
        <is>
          <t>機台台數</t>
        </is>
      </c>
      <c r="C39" s="10">
        <f>COUNTA(機台!A2:A500)</f>
        <v/>
      </c>
      <c r="D39" s="2" t="inlineStr">
        <is>
          <t>台</t>
        </is>
      </c>
    </row>
    <row r="40">
      <c r="A40" s="4" t="inlineStr">
        <is>
          <t>機隊等效 site 總數</t>
        </is>
      </c>
      <c r="C40" s="10">
        <f>SUM(機台!B2:B500)</f>
        <v/>
      </c>
      <c r="D40" s="2" t="inlineStr">
        <is>
          <t>site</t>
        </is>
      </c>
    </row>
    <row r="41">
      <c r="A41" s="4" t="inlineStr">
        <is>
          <t>理論最短清空時間</t>
        </is>
      </c>
      <c r="C41" s="10">
        <f>IFERROR(C38/C40,0)</f>
        <v/>
      </c>
      <c r="D41" s="2" t="inlineStr">
        <is>
          <t>小時（不含改機與當機，排程再好也快不過這個）</t>
        </is>
      </c>
    </row>
    <row r="43">
      <c r="A43" s="2" t="inlineStr">
        <is>
          <t>「理論最短清空時間」＝ 純測試工時 ÷ 機隊等效 site 總數。它假設零改機、零當機、機台永遠不閒著，</t>
        </is>
      </c>
    </row>
    <row r="44">
      <c r="A44" s="2" t="inlineStr">
        <is>
          <t>所以實際一定比它長。模擬跑出來的數字離它多遠，就是改機與排程吃掉的部分。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9" customWidth="1" min="4" max="4"/>
    <col width="13" customWidth="1" min="5" max="5"/>
    <col width="12" customWidth="1" min="6" max="6"/>
    <col width="11" customWidth="1" min="7" max="7"/>
    <col width="7" customWidth="1" min="8" max="8"/>
    <col width="10" customWidth="1" min="9" max="9"/>
    <col width="26" customWidth="1" min="10" max="10"/>
  </cols>
  <sheetData>
    <row r="1" ht="22" customHeight="1">
      <c r="A1" s="11" t="inlineStr">
        <is>
          <t>lot_id</t>
        </is>
      </c>
      <c r="B1" s="11" t="inlineStr">
        <is>
          <t>package</t>
        </is>
      </c>
      <c r="C1" s="11" t="inlineStr">
        <is>
          <t>program</t>
        </is>
      </c>
      <c r="D1" s="11" t="inlineStr">
        <is>
          <t>qty</t>
        </is>
      </c>
      <c r="E1" s="11" t="inlineStr">
        <is>
          <t>tpu_sec</t>
        </is>
      </c>
      <c r="F1" s="11" t="inlineStr">
        <is>
          <t>arrive_h</t>
        </is>
      </c>
      <c r="G1" s="11" t="inlineStr">
        <is>
          <t>due_h</t>
        </is>
      </c>
      <c r="H1" s="11" t="inlineStr">
        <is>
          <t>hot</t>
        </is>
      </c>
      <c r="I1" s="11" t="inlineStr">
        <is>
          <t>yield_pct</t>
        </is>
      </c>
      <c r="J1" s="11" t="inlineStr">
        <is>
          <t>note</t>
        </is>
      </c>
    </row>
    <row r="2">
      <c r="A2" s="12" t="inlineStr">
        <is>
          <t>LOT-0001</t>
        </is>
      </c>
      <c r="B2" s="12" t="inlineStr">
        <is>
          <t>QFN32</t>
        </is>
      </c>
      <c r="C2" s="12" t="inlineStr">
        <is>
          <t>PMIC07_V2</t>
        </is>
      </c>
      <c r="D2" s="13" t="n">
        <v>5500</v>
      </c>
      <c r="E2" s="13" t="n">
        <v>3.25</v>
      </c>
      <c r="F2" s="13" t="n">
        <v>0</v>
      </c>
      <c r="G2" s="13" t="n">
        <v>20.4</v>
      </c>
      <c r="H2" s="12" t="inlineStr">
        <is>
          <t>N</t>
        </is>
      </c>
      <c r="I2" s="13" t="n">
        <v>93.09999999999999</v>
      </c>
      <c r="J2" s="12" t="inlineStr">
        <is>
          <t>中批</t>
        </is>
      </c>
    </row>
    <row r="3">
      <c r="A3" s="12" t="inlineStr">
        <is>
          <t>LOT-0002</t>
        </is>
      </c>
      <c r="B3" s="12" t="inlineStr">
        <is>
          <t>QFN48</t>
        </is>
      </c>
      <c r="C3" s="12" t="inlineStr">
        <is>
          <t>MCU01_V3</t>
        </is>
      </c>
      <c r="D3" s="13" t="n">
        <v>700</v>
      </c>
      <c r="E3" s="13" t="n">
        <v>2.2</v>
      </c>
      <c r="F3" s="13" t="n">
        <v>0</v>
      </c>
      <c r="G3" s="13" t="n">
        <v>9.699999999999999</v>
      </c>
      <c r="H3" s="12" t="inlineStr">
        <is>
          <t>N</t>
        </is>
      </c>
      <c r="I3" s="13" t="n"/>
      <c r="J3" s="12" t="inlineStr">
        <is>
          <t>小批</t>
        </is>
      </c>
    </row>
    <row r="4">
      <c r="A4" s="12" t="inlineStr">
        <is>
          <t>LOT-0003</t>
        </is>
      </c>
      <c r="B4" s="12" t="inlineStr">
        <is>
          <t>SOP16</t>
        </is>
      </c>
      <c r="C4" s="12" t="inlineStr">
        <is>
          <t>LED03_V1</t>
        </is>
      </c>
      <c r="D4" s="13" t="n">
        <v>7500</v>
      </c>
      <c r="E4" s="13" t="n">
        <v>1.17</v>
      </c>
      <c r="F4" s="13" t="n">
        <v>0</v>
      </c>
      <c r="G4" s="13" t="n">
        <v>16.5</v>
      </c>
      <c r="H4" s="12" t="inlineStr">
        <is>
          <t>N</t>
        </is>
      </c>
      <c r="I4" s="13" t="n"/>
      <c r="J4" s="12" t="inlineStr">
        <is>
          <t>中批</t>
        </is>
      </c>
    </row>
    <row r="5">
      <c r="A5" s="12" t="inlineStr">
        <is>
          <t>LOT-0004</t>
        </is>
      </c>
      <c r="B5" s="12" t="inlineStr">
        <is>
          <t>SOP16</t>
        </is>
      </c>
      <c r="C5" s="12" t="inlineStr">
        <is>
          <t>LED03_V1</t>
        </is>
      </c>
      <c r="D5" s="13" t="n">
        <v>1400</v>
      </c>
      <c r="E5" s="13" t="n">
        <v>1.24</v>
      </c>
      <c r="F5" s="13" t="n">
        <v>0</v>
      </c>
      <c r="G5" s="13" t="n">
        <v>6.8</v>
      </c>
      <c r="H5" s="12" t="inlineStr">
        <is>
          <t>N</t>
        </is>
      </c>
      <c r="I5" s="13" t="n"/>
      <c r="J5" s="12" t="inlineStr">
        <is>
          <t>小批</t>
        </is>
      </c>
    </row>
    <row r="6">
      <c r="A6" s="12" t="inlineStr">
        <is>
          <t>LOT-0005</t>
        </is>
      </c>
      <c r="B6" s="12" t="inlineStr">
        <is>
          <t>SOP16</t>
        </is>
      </c>
      <c r="C6" s="12" t="inlineStr">
        <is>
          <t>LED03_V1</t>
        </is>
      </c>
      <c r="D6" s="13" t="n">
        <v>21000</v>
      </c>
      <c r="E6" s="13" t="n">
        <v>1.19</v>
      </c>
      <c r="F6" s="13" t="n">
        <v>0</v>
      </c>
      <c r="G6" s="13" t="n">
        <v>14.4</v>
      </c>
      <c r="H6" s="12" t="inlineStr">
        <is>
          <t>N</t>
        </is>
      </c>
      <c r="I6" s="13" t="n">
        <v>98.8</v>
      </c>
      <c r="J6" s="12" t="inlineStr">
        <is>
          <t>大批</t>
        </is>
      </c>
    </row>
    <row r="7">
      <c r="A7" s="12" t="inlineStr">
        <is>
          <t>LOT-0006</t>
        </is>
      </c>
      <c r="B7" s="12" t="inlineStr">
        <is>
          <t>QFN32</t>
        </is>
      </c>
      <c r="C7" s="12" t="inlineStr">
        <is>
          <t>PMIC07_V2</t>
        </is>
      </c>
      <c r="D7" s="13" t="n">
        <v>600</v>
      </c>
      <c r="E7" s="13" t="n">
        <v>3.2</v>
      </c>
      <c r="F7" s="13" t="n">
        <v>0</v>
      </c>
      <c r="G7" s="13" t="n">
        <v>10.3</v>
      </c>
      <c r="H7" s="12" t="inlineStr">
        <is>
          <t>N</t>
        </is>
      </c>
      <c r="I7" s="13" t="n"/>
      <c r="J7" s="12" t="inlineStr">
        <is>
          <t>小批</t>
        </is>
      </c>
    </row>
    <row r="8">
      <c r="A8" s="12" t="inlineStr">
        <is>
          <t>LOT-0007</t>
        </is>
      </c>
      <c r="B8" s="12" t="inlineStr">
        <is>
          <t>QFN32</t>
        </is>
      </c>
      <c r="C8" s="12" t="inlineStr">
        <is>
          <t>PMIC07_V2</t>
        </is>
      </c>
      <c r="D8" s="13" t="n">
        <v>600</v>
      </c>
      <c r="E8" s="13" t="n">
        <v>3.38</v>
      </c>
      <c r="F8" s="13" t="n">
        <v>0</v>
      </c>
      <c r="G8" s="13" t="n">
        <v>5.4</v>
      </c>
      <c r="H8" s="12" t="inlineStr">
        <is>
          <t>N</t>
        </is>
      </c>
      <c r="I8" s="13" t="n">
        <v>92.3</v>
      </c>
      <c r="J8" s="12" t="inlineStr">
        <is>
          <t>小批</t>
        </is>
      </c>
    </row>
    <row r="9">
      <c r="A9" s="12" t="inlineStr">
        <is>
          <t>LOT-0008</t>
        </is>
      </c>
      <c r="B9" s="12" t="inlineStr">
        <is>
          <t>QFN32</t>
        </is>
      </c>
      <c r="C9" s="12" t="inlineStr">
        <is>
          <t>PMIC07_V2</t>
        </is>
      </c>
      <c r="D9" s="13" t="n">
        <v>1200</v>
      </c>
      <c r="E9" s="13" t="n">
        <v>3.46</v>
      </c>
      <c r="F9" s="13" t="n">
        <v>0</v>
      </c>
      <c r="G9" s="13" t="n">
        <v>12.1</v>
      </c>
      <c r="H9" s="12" t="inlineStr">
        <is>
          <t>N</t>
        </is>
      </c>
      <c r="I9" s="13" t="n">
        <v>90.3</v>
      </c>
      <c r="J9" s="12" t="inlineStr">
        <is>
          <t>小批</t>
        </is>
      </c>
    </row>
    <row r="10">
      <c r="A10" s="12" t="inlineStr">
        <is>
          <t>LOT-0009</t>
        </is>
      </c>
      <c r="B10" s="12" t="inlineStr">
        <is>
          <t>QFN32</t>
        </is>
      </c>
      <c r="C10" s="12" t="inlineStr">
        <is>
          <t>PMIC07_V2</t>
        </is>
      </c>
      <c r="D10" s="13" t="n">
        <v>13000</v>
      </c>
      <c r="E10" s="13" t="n">
        <v>3.66</v>
      </c>
      <c r="F10" s="13" t="n">
        <v>0</v>
      </c>
      <c r="G10" s="13" t="n">
        <v>30.8</v>
      </c>
      <c r="H10" s="12" t="inlineStr">
        <is>
          <t>N</t>
        </is>
      </c>
      <c r="I10" s="13" t="n"/>
      <c r="J10" s="12" t="inlineStr">
        <is>
          <t>大批</t>
        </is>
      </c>
    </row>
    <row r="11">
      <c r="A11" s="12" t="inlineStr">
        <is>
          <t>LOT-0010</t>
        </is>
      </c>
      <c r="B11" s="12" t="inlineStr">
        <is>
          <t>QFN32</t>
        </is>
      </c>
      <c r="C11" s="12" t="inlineStr">
        <is>
          <t>PMIC07_V2</t>
        </is>
      </c>
      <c r="D11" s="13" t="n">
        <v>1800</v>
      </c>
      <c r="E11" s="13" t="n">
        <v>3.22</v>
      </c>
      <c r="F11" s="13" t="n">
        <v>0</v>
      </c>
      <c r="G11" s="13" t="n">
        <v>8</v>
      </c>
      <c r="H11" s="12" t="inlineStr">
        <is>
          <t>N</t>
        </is>
      </c>
      <c r="I11" s="13" t="n">
        <v>90.8</v>
      </c>
      <c r="J11" s="12" t="inlineStr">
        <is>
          <t>小批</t>
        </is>
      </c>
    </row>
    <row r="12">
      <c r="A12" s="12" t="inlineStr">
        <is>
          <t>LOT-0011</t>
        </is>
      </c>
      <c r="B12" s="12" t="inlineStr">
        <is>
          <t>QFN32</t>
        </is>
      </c>
      <c r="C12" s="12" t="inlineStr">
        <is>
          <t>PMIC07_V2</t>
        </is>
      </c>
      <c r="D12" s="13" t="n">
        <v>6500</v>
      </c>
      <c r="E12" s="13" t="n">
        <v>3.28</v>
      </c>
      <c r="F12" s="13" t="n">
        <v>0</v>
      </c>
      <c r="G12" s="13" t="n">
        <v>20.8</v>
      </c>
      <c r="H12" s="12" t="inlineStr">
        <is>
          <t>N</t>
        </is>
      </c>
      <c r="I12" s="13" t="n">
        <v>92.5</v>
      </c>
      <c r="J12" s="12" t="inlineStr">
        <is>
          <t>中批</t>
        </is>
      </c>
    </row>
    <row r="13">
      <c r="A13" s="12" t="inlineStr">
        <is>
          <t>LOT-0012</t>
        </is>
      </c>
      <c r="B13" s="12" t="inlineStr">
        <is>
          <t>QFN48</t>
        </is>
      </c>
      <c r="C13" s="12" t="inlineStr">
        <is>
          <t>MCU01_V3</t>
        </is>
      </c>
      <c r="D13" s="13" t="n">
        <v>1400</v>
      </c>
      <c r="E13" s="13" t="n">
        <v>1.99</v>
      </c>
      <c r="F13" s="13" t="n">
        <v>0</v>
      </c>
      <c r="G13" s="13" t="n">
        <v>5.4</v>
      </c>
      <c r="H13" s="12" t="inlineStr">
        <is>
          <t>N</t>
        </is>
      </c>
      <c r="I13" s="13" t="n"/>
      <c r="J13" s="12" t="inlineStr">
        <is>
          <t>小批</t>
        </is>
      </c>
    </row>
    <row r="14">
      <c r="A14" s="12" t="inlineStr">
        <is>
          <t>LOT-0013</t>
        </is>
      </c>
      <c r="B14" s="12" t="inlineStr">
        <is>
          <t>QFN48</t>
        </is>
      </c>
      <c r="C14" s="12" t="inlineStr">
        <is>
          <t>MCU01_V5</t>
        </is>
      </c>
      <c r="D14" s="13" t="n">
        <v>900</v>
      </c>
      <c r="E14" s="13" t="n">
        <v>2.26</v>
      </c>
      <c r="F14" s="13" t="n">
        <v>0</v>
      </c>
      <c r="G14" s="13" t="n">
        <v>12.3</v>
      </c>
      <c r="H14" s="12" t="inlineStr">
        <is>
          <t>N</t>
        </is>
      </c>
      <c r="I14" s="13" t="n">
        <v>94.8</v>
      </c>
      <c r="J14" s="12" t="inlineStr">
        <is>
          <t>小批</t>
        </is>
      </c>
    </row>
    <row r="15">
      <c r="A15" s="12" t="inlineStr">
        <is>
          <t>LOT-0014</t>
        </is>
      </c>
      <c r="B15" s="12" t="inlineStr">
        <is>
          <t>QFN48</t>
        </is>
      </c>
      <c r="C15" s="12" t="inlineStr">
        <is>
          <t>MCU01_V3</t>
        </is>
      </c>
      <c r="D15" s="13" t="n">
        <v>7500</v>
      </c>
      <c r="E15" s="13" t="n">
        <v>2.04</v>
      </c>
      <c r="F15" s="13" t="n">
        <v>0</v>
      </c>
      <c r="G15" s="13" t="n">
        <v>11</v>
      </c>
      <c r="H15" s="12" t="inlineStr">
        <is>
          <t>N</t>
        </is>
      </c>
      <c r="I15" s="13" t="n"/>
      <c r="J15" s="12" t="inlineStr">
        <is>
          <t>中批</t>
        </is>
      </c>
    </row>
    <row r="16">
      <c r="A16" s="12" t="inlineStr">
        <is>
          <t>LOT-0015</t>
        </is>
      </c>
      <c r="B16" s="12" t="inlineStr">
        <is>
          <t>QFN48</t>
        </is>
      </c>
      <c r="C16" s="12" t="inlineStr">
        <is>
          <t>MCU01_V3</t>
        </is>
      </c>
      <c r="D16" s="13" t="n">
        <v>800</v>
      </c>
      <c r="E16" s="13" t="n">
        <v>2.08</v>
      </c>
      <c r="F16" s="13" t="n">
        <v>0</v>
      </c>
      <c r="G16" s="13" t="n">
        <v>11.4</v>
      </c>
      <c r="H16" s="12" t="inlineStr">
        <is>
          <t>N</t>
        </is>
      </c>
      <c r="I16" s="13" t="n">
        <v>97.7</v>
      </c>
      <c r="J16" s="12" t="inlineStr">
        <is>
          <t>小批</t>
        </is>
      </c>
    </row>
    <row r="17">
      <c r="A17" s="12" t="inlineStr">
        <is>
          <t>LOT-0016</t>
        </is>
      </c>
      <c r="B17" s="12" t="inlineStr">
        <is>
          <t>SOP16</t>
        </is>
      </c>
      <c r="C17" s="12" t="inlineStr">
        <is>
          <t>LED03_V1</t>
        </is>
      </c>
      <c r="D17" s="13" t="n">
        <v>1800</v>
      </c>
      <c r="E17" s="13" t="n">
        <v>1.13</v>
      </c>
      <c r="F17" s="13" t="n">
        <v>0</v>
      </c>
      <c r="G17" s="13" t="n">
        <v>2.8</v>
      </c>
      <c r="H17" s="12" t="inlineStr">
        <is>
          <t>Y</t>
        </is>
      </c>
      <c r="I17" s="13" t="n"/>
      <c r="J17" s="12" t="inlineStr">
        <is>
          <t>小批・急件</t>
        </is>
      </c>
    </row>
    <row r="18">
      <c r="A18" s="12" t="inlineStr">
        <is>
          <t>LOT-0017</t>
        </is>
      </c>
      <c r="B18" s="12" t="inlineStr">
        <is>
          <t>QFN48</t>
        </is>
      </c>
      <c r="C18" s="12" t="inlineStr">
        <is>
          <t>MCU01_V5</t>
        </is>
      </c>
      <c r="D18" s="13" t="n">
        <v>600</v>
      </c>
      <c r="E18" s="13" t="n">
        <v>2.26</v>
      </c>
      <c r="F18" s="13" t="n">
        <v>0</v>
      </c>
      <c r="G18" s="13" t="n">
        <v>10</v>
      </c>
      <c r="H18" s="12" t="inlineStr">
        <is>
          <t>N</t>
        </is>
      </c>
      <c r="I18" s="13" t="n"/>
      <c r="J18" s="12" t="inlineStr">
        <is>
          <t>小批</t>
        </is>
      </c>
    </row>
    <row r="19">
      <c r="A19" s="12" t="inlineStr">
        <is>
          <t>LOT-0018</t>
        </is>
      </c>
      <c r="B19" s="12" t="inlineStr">
        <is>
          <t>QFN48</t>
        </is>
      </c>
      <c r="C19" s="12" t="inlineStr">
        <is>
          <t>MCU01_V5</t>
        </is>
      </c>
      <c r="D19" s="13" t="n">
        <v>1300</v>
      </c>
      <c r="E19" s="13" t="n">
        <v>2.12</v>
      </c>
      <c r="F19" s="13" t="n">
        <v>0</v>
      </c>
      <c r="G19" s="13" t="n">
        <v>8.9</v>
      </c>
      <c r="H19" s="12" t="inlineStr">
        <is>
          <t>N</t>
        </is>
      </c>
      <c r="I19" s="13" t="n">
        <v>95</v>
      </c>
      <c r="J19" s="12" t="inlineStr">
        <is>
          <t>小批</t>
        </is>
      </c>
    </row>
    <row r="20">
      <c r="A20" s="12" t="inlineStr">
        <is>
          <t>LOT-0019</t>
        </is>
      </c>
      <c r="B20" s="12" t="inlineStr">
        <is>
          <t>QFN48</t>
        </is>
      </c>
      <c r="C20" s="12" t="inlineStr">
        <is>
          <t>MCU01_V3</t>
        </is>
      </c>
      <c r="D20" s="13" t="n">
        <v>1300</v>
      </c>
      <c r="E20" s="13" t="n">
        <v>1.99</v>
      </c>
      <c r="F20" s="13" t="n">
        <v>0</v>
      </c>
      <c r="G20" s="13" t="n">
        <v>10.6</v>
      </c>
      <c r="H20" s="12" t="inlineStr">
        <is>
          <t>N</t>
        </is>
      </c>
      <c r="I20" s="13" t="n">
        <v>95.3</v>
      </c>
      <c r="J20" s="12" t="inlineStr">
        <is>
          <t>小批</t>
        </is>
      </c>
    </row>
    <row r="21">
      <c r="A21" s="12" t="inlineStr">
        <is>
          <t>LOT-0020</t>
        </is>
      </c>
      <c r="B21" s="12" t="inlineStr">
        <is>
          <t>QFN48</t>
        </is>
      </c>
      <c r="C21" s="12" t="inlineStr">
        <is>
          <t>MCU01_V3</t>
        </is>
      </c>
      <c r="D21" s="13" t="n">
        <v>700</v>
      </c>
      <c r="E21" s="13" t="n">
        <v>1.98</v>
      </c>
      <c r="F21" s="13" t="n">
        <v>0</v>
      </c>
      <c r="G21" s="13" t="n">
        <v>8.199999999999999</v>
      </c>
      <c r="H21" s="12" t="inlineStr">
        <is>
          <t>N</t>
        </is>
      </c>
      <c r="I21" s="13" t="n">
        <v>96.09999999999999</v>
      </c>
      <c r="J21" s="12" t="inlineStr">
        <is>
          <t>小批</t>
        </is>
      </c>
    </row>
    <row r="22">
      <c r="A22" s="12" t="inlineStr">
        <is>
          <t>LOT-0021</t>
        </is>
      </c>
      <c r="B22" s="12" t="inlineStr">
        <is>
          <t>QFN32</t>
        </is>
      </c>
      <c r="C22" s="12" t="inlineStr">
        <is>
          <t>PMIC07_V2</t>
        </is>
      </c>
      <c r="D22" s="13" t="n">
        <v>900</v>
      </c>
      <c r="E22" s="13" t="n">
        <v>3.63</v>
      </c>
      <c r="F22" s="13" t="n">
        <v>0</v>
      </c>
      <c r="G22" s="13" t="n">
        <v>13.1</v>
      </c>
      <c r="H22" s="12" t="inlineStr">
        <is>
          <t>N</t>
        </is>
      </c>
      <c r="I22" s="13" t="n"/>
      <c r="J22" s="12" t="inlineStr">
        <is>
          <t>小批</t>
        </is>
      </c>
    </row>
    <row r="23">
      <c r="A23" s="12" t="inlineStr">
        <is>
          <t>LOT-0022</t>
        </is>
      </c>
      <c r="B23" s="12" t="inlineStr">
        <is>
          <t>QFN32</t>
        </is>
      </c>
      <c r="C23" s="12" t="inlineStr">
        <is>
          <t>PMIC07_V2</t>
        </is>
      </c>
      <c r="D23" s="13" t="n">
        <v>2500</v>
      </c>
      <c r="E23" s="13" t="n">
        <v>3.53</v>
      </c>
      <c r="F23" s="13" t="n">
        <v>0</v>
      </c>
      <c r="G23" s="13" t="n">
        <v>15.3</v>
      </c>
      <c r="H23" s="12" t="inlineStr">
        <is>
          <t>N</t>
        </is>
      </c>
      <c r="I23" s="13" t="n">
        <v>92.8</v>
      </c>
      <c r="J23" s="12" t="inlineStr">
        <is>
          <t>中批</t>
        </is>
      </c>
    </row>
    <row r="24">
      <c r="A24" s="12" t="inlineStr">
        <is>
          <t>LOT-0023</t>
        </is>
      </c>
      <c r="B24" s="12" t="inlineStr">
        <is>
          <t>QFN32</t>
        </is>
      </c>
      <c r="C24" s="12" t="inlineStr">
        <is>
          <t>PMIC07_V2</t>
        </is>
      </c>
      <c r="D24" s="13" t="n">
        <v>800</v>
      </c>
      <c r="E24" s="13" t="n">
        <v>3.28</v>
      </c>
      <c r="F24" s="13" t="n">
        <v>0</v>
      </c>
      <c r="G24" s="13" t="n">
        <v>3.2</v>
      </c>
      <c r="H24" s="12" t="inlineStr">
        <is>
          <t>Y</t>
        </is>
      </c>
      <c r="I24" s="13" t="n">
        <v>91.59999999999999</v>
      </c>
      <c r="J24" s="12" t="inlineStr">
        <is>
          <t>小批・急件</t>
        </is>
      </c>
    </row>
    <row r="25">
      <c r="A25" s="12" t="inlineStr">
        <is>
          <t>LOT-0024</t>
        </is>
      </c>
      <c r="B25" s="12" t="inlineStr">
        <is>
          <t>QFN32</t>
        </is>
      </c>
      <c r="C25" s="12" t="inlineStr">
        <is>
          <t>PMIC07_V2</t>
        </is>
      </c>
      <c r="D25" s="13" t="n">
        <v>1900</v>
      </c>
      <c r="E25" s="13" t="n">
        <v>3.34</v>
      </c>
      <c r="F25" s="13" t="n">
        <v>0</v>
      </c>
      <c r="G25" s="13" t="n">
        <v>11.4</v>
      </c>
      <c r="H25" s="12" t="inlineStr">
        <is>
          <t>N</t>
        </is>
      </c>
      <c r="I25" s="13" t="n"/>
      <c r="J25" s="12" t="inlineStr">
        <is>
          <t>小批</t>
        </is>
      </c>
    </row>
    <row r="26">
      <c r="A26" s="12" t="inlineStr">
        <is>
          <t>LOT-0025</t>
        </is>
      </c>
      <c r="B26" s="12" t="inlineStr">
        <is>
          <t>QFN32</t>
        </is>
      </c>
      <c r="C26" s="12" t="inlineStr">
        <is>
          <t>PMIC07_V2</t>
        </is>
      </c>
      <c r="D26" s="13" t="n">
        <v>1800</v>
      </c>
      <c r="E26" s="13" t="n">
        <v>3.39</v>
      </c>
      <c r="F26" s="13" t="n">
        <v>0</v>
      </c>
      <c r="G26" s="13" t="n">
        <v>10.4</v>
      </c>
      <c r="H26" s="12" t="inlineStr">
        <is>
          <t>N</t>
        </is>
      </c>
      <c r="I26" s="13" t="n"/>
      <c r="J26" s="12" t="inlineStr">
        <is>
          <t>小批</t>
        </is>
      </c>
    </row>
    <row r="27">
      <c r="A27" s="12" t="inlineStr">
        <is>
          <t>LOT-0026</t>
        </is>
      </c>
      <c r="B27" s="12" t="inlineStr">
        <is>
          <t>QFN48</t>
        </is>
      </c>
      <c r="C27" s="12" t="inlineStr">
        <is>
          <t>MCU01_V3</t>
        </is>
      </c>
      <c r="D27" s="13" t="n">
        <v>5500</v>
      </c>
      <c r="E27" s="13" t="n">
        <v>2.25</v>
      </c>
      <c r="F27" s="13" t="n">
        <v>0</v>
      </c>
      <c r="G27" s="13" t="n">
        <v>15.7</v>
      </c>
      <c r="H27" s="12" t="inlineStr">
        <is>
          <t>N</t>
        </is>
      </c>
      <c r="I27" s="13" t="n">
        <v>95.8</v>
      </c>
      <c r="J27" s="12" t="inlineStr">
        <is>
          <t>中批</t>
        </is>
      </c>
    </row>
    <row r="28">
      <c r="A28" s="12" t="inlineStr">
        <is>
          <t>LOT-0027</t>
        </is>
      </c>
      <c r="B28" s="12" t="inlineStr">
        <is>
          <t>QFN48</t>
        </is>
      </c>
      <c r="C28" s="12" t="inlineStr">
        <is>
          <t>MCU01_V3</t>
        </is>
      </c>
      <c r="D28" s="13" t="n">
        <v>1100</v>
      </c>
      <c r="E28" s="13" t="n">
        <v>1.96</v>
      </c>
      <c r="F28" s="13" t="n">
        <v>0</v>
      </c>
      <c r="G28" s="13" t="n">
        <v>3.8</v>
      </c>
      <c r="H28" s="12" t="inlineStr">
        <is>
          <t>Y</t>
        </is>
      </c>
      <c r="I28" s="13" t="n">
        <v>97</v>
      </c>
      <c r="J28" s="12" t="inlineStr">
        <is>
          <t>小批・急件</t>
        </is>
      </c>
    </row>
    <row r="29">
      <c r="A29" s="12" t="inlineStr">
        <is>
          <t>LOT-0028</t>
        </is>
      </c>
      <c r="B29" s="12" t="inlineStr">
        <is>
          <t>SOP16</t>
        </is>
      </c>
      <c r="C29" s="12" t="inlineStr">
        <is>
          <t>LED03_V1</t>
        </is>
      </c>
      <c r="D29" s="13" t="n">
        <v>24000</v>
      </c>
      <c r="E29" s="13" t="n">
        <v>1.23</v>
      </c>
      <c r="F29" s="13" t="n">
        <v>0</v>
      </c>
      <c r="G29" s="13" t="n">
        <v>25</v>
      </c>
      <c r="H29" s="12" t="inlineStr">
        <is>
          <t>N</t>
        </is>
      </c>
      <c r="I29" s="13" t="n">
        <v>97.3</v>
      </c>
      <c r="J29" s="12" t="inlineStr">
        <is>
          <t>大批</t>
        </is>
      </c>
    </row>
    <row r="30">
      <c r="A30" s="12" t="inlineStr">
        <is>
          <t>LOT-0029</t>
        </is>
      </c>
      <c r="B30" s="12" t="inlineStr">
        <is>
          <t>QFN48</t>
        </is>
      </c>
      <c r="C30" s="12" t="inlineStr">
        <is>
          <t>MCU01_V5</t>
        </is>
      </c>
      <c r="D30" s="13" t="n">
        <v>6500</v>
      </c>
      <c r="E30" s="13" t="n">
        <v>2.18</v>
      </c>
      <c r="F30" s="13" t="n">
        <v>0</v>
      </c>
      <c r="G30" s="13" t="n">
        <v>10.7</v>
      </c>
      <c r="H30" s="12" t="inlineStr">
        <is>
          <t>N</t>
        </is>
      </c>
      <c r="I30" s="13" t="n"/>
      <c r="J30" s="12" t="inlineStr">
        <is>
          <t>中批</t>
        </is>
      </c>
    </row>
    <row r="31">
      <c r="A31" s="12" t="inlineStr">
        <is>
          <t>LOT-0030</t>
        </is>
      </c>
      <c r="B31" s="12" t="inlineStr">
        <is>
          <t>QFN48</t>
        </is>
      </c>
      <c r="C31" s="12" t="inlineStr">
        <is>
          <t>MCU01_V5</t>
        </is>
      </c>
      <c r="D31" s="13" t="n">
        <v>600</v>
      </c>
      <c r="E31" s="13" t="n">
        <v>1.97</v>
      </c>
      <c r="F31" s="13" t="n">
        <v>0</v>
      </c>
      <c r="G31" s="13" t="n">
        <v>12.6</v>
      </c>
      <c r="H31" s="12" t="inlineStr">
        <is>
          <t>N</t>
        </is>
      </c>
      <c r="I31" s="13" t="n">
        <v>92.8</v>
      </c>
      <c r="J31" s="12" t="inlineStr">
        <is>
          <t>小批</t>
        </is>
      </c>
    </row>
    <row r="32">
      <c r="A32" s="12" t="inlineStr">
        <is>
          <t>LOT-0031</t>
        </is>
      </c>
      <c r="B32" s="12" t="inlineStr">
        <is>
          <t>QFN48</t>
        </is>
      </c>
      <c r="C32" s="12" t="inlineStr">
        <is>
          <t>MCU01_V5</t>
        </is>
      </c>
      <c r="D32" s="13" t="n">
        <v>5000</v>
      </c>
      <c r="E32" s="13" t="n">
        <v>2.25</v>
      </c>
      <c r="F32" s="13" t="n">
        <v>0</v>
      </c>
      <c r="G32" s="13" t="n">
        <v>10.2</v>
      </c>
      <c r="H32" s="12" t="inlineStr">
        <is>
          <t>N</t>
        </is>
      </c>
      <c r="I32" s="13" t="n"/>
      <c r="J32" s="12" t="inlineStr">
        <is>
          <t>中批</t>
        </is>
      </c>
    </row>
    <row r="33">
      <c r="A33" s="12" t="inlineStr">
        <is>
          <t>LOT-0032</t>
        </is>
      </c>
      <c r="B33" s="12" t="inlineStr">
        <is>
          <t>QFN48</t>
        </is>
      </c>
      <c r="C33" s="12" t="inlineStr">
        <is>
          <t>MCU01_V5</t>
        </is>
      </c>
      <c r="D33" s="13" t="n">
        <v>1300</v>
      </c>
      <c r="E33" s="13" t="n">
        <v>2.17</v>
      </c>
      <c r="F33" s="13" t="n">
        <v>0</v>
      </c>
      <c r="G33" s="13" t="n">
        <v>10.8</v>
      </c>
      <c r="H33" s="12" t="inlineStr">
        <is>
          <t>N</t>
        </is>
      </c>
      <c r="I33" s="13" t="n">
        <v>94.7</v>
      </c>
      <c r="J33" s="12" t="inlineStr">
        <is>
          <t>小批</t>
        </is>
      </c>
    </row>
    <row r="34">
      <c r="A34" s="12" t="inlineStr">
        <is>
          <t>LOT-0033</t>
        </is>
      </c>
      <c r="B34" s="12" t="inlineStr">
        <is>
          <t>TSSOP28</t>
        </is>
      </c>
      <c r="C34" s="12" t="inlineStr">
        <is>
          <t>SENS11_V4</t>
        </is>
      </c>
      <c r="D34" s="13" t="n">
        <v>800</v>
      </c>
      <c r="E34" s="13" t="n">
        <v>2.63</v>
      </c>
      <c r="F34" s="13" t="n">
        <v>0</v>
      </c>
      <c r="G34" s="13" t="n">
        <v>11.1</v>
      </c>
      <c r="H34" s="12" t="inlineStr">
        <is>
          <t>N</t>
        </is>
      </c>
      <c r="I34" s="13" t="n"/>
      <c r="J34" s="12" t="inlineStr">
        <is>
          <t>小批</t>
        </is>
      </c>
    </row>
    <row r="35">
      <c r="A35" s="12" t="inlineStr">
        <is>
          <t>LOT-0034</t>
        </is>
      </c>
      <c r="B35" s="12" t="inlineStr">
        <is>
          <t>TSSOP28</t>
        </is>
      </c>
      <c r="C35" s="12" t="inlineStr">
        <is>
          <t>SENS11_V4</t>
        </is>
      </c>
      <c r="D35" s="13" t="n">
        <v>1800</v>
      </c>
      <c r="E35" s="13" t="n">
        <v>2.98</v>
      </c>
      <c r="F35" s="13" t="n">
        <v>0</v>
      </c>
      <c r="G35" s="13" t="n">
        <v>8.199999999999999</v>
      </c>
      <c r="H35" s="12" t="inlineStr">
        <is>
          <t>N</t>
        </is>
      </c>
      <c r="I35" s="13" t="n"/>
      <c r="J35" s="12" t="inlineStr">
        <is>
          <t>小批</t>
        </is>
      </c>
    </row>
    <row r="36">
      <c r="A36" s="12" t="inlineStr">
        <is>
          <t>LOT-0035</t>
        </is>
      </c>
      <c r="B36" s="12" t="inlineStr">
        <is>
          <t>TSSOP28</t>
        </is>
      </c>
      <c r="C36" s="12" t="inlineStr">
        <is>
          <t>SENS11_V4</t>
        </is>
      </c>
      <c r="D36" s="13" t="n">
        <v>21000</v>
      </c>
      <c r="E36" s="13" t="n">
        <v>2.93</v>
      </c>
      <c r="F36" s="13" t="n">
        <v>0</v>
      </c>
      <c r="G36" s="13" t="n">
        <v>18.7</v>
      </c>
      <c r="H36" s="12" t="inlineStr">
        <is>
          <t>N</t>
        </is>
      </c>
      <c r="I36" s="13" t="n">
        <v>90.2</v>
      </c>
      <c r="J36" s="12" t="inlineStr">
        <is>
          <t>大批</t>
        </is>
      </c>
    </row>
    <row r="37">
      <c r="A37" s="12" t="inlineStr">
        <is>
          <t>LOT-0036</t>
        </is>
      </c>
      <c r="B37" s="12" t="inlineStr">
        <is>
          <t>QFN48</t>
        </is>
      </c>
      <c r="C37" s="12" t="inlineStr">
        <is>
          <t>MCU01_V3</t>
        </is>
      </c>
      <c r="D37" s="13" t="n">
        <v>6500</v>
      </c>
      <c r="E37" s="13" t="n">
        <v>2.07</v>
      </c>
      <c r="F37" s="13" t="n">
        <v>0</v>
      </c>
      <c r="G37" s="13" t="n">
        <v>3.5</v>
      </c>
      <c r="H37" s="12" t="inlineStr">
        <is>
          <t>Y</t>
        </is>
      </c>
      <c r="I37" s="13" t="n"/>
      <c r="J37" s="12" t="inlineStr">
        <is>
          <t>中批・急件</t>
        </is>
      </c>
    </row>
    <row r="38">
      <c r="A38" s="12" t="inlineStr">
        <is>
          <t>LOT-0037</t>
        </is>
      </c>
      <c r="B38" s="12" t="inlineStr">
        <is>
          <t>QFN48</t>
        </is>
      </c>
      <c r="C38" s="12" t="inlineStr">
        <is>
          <t>MCU01_V3</t>
        </is>
      </c>
      <c r="D38" s="13" t="n">
        <v>1600</v>
      </c>
      <c r="E38" s="13" t="n">
        <v>2.09</v>
      </c>
      <c r="F38" s="13" t="n">
        <v>0</v>
      </c>
      <c r="G38" s="13" t="n">
        <v>13</v>
      </c>
      <c r="H38" s="12" t="inlineStr">
        <is>
          <t>N</t>
        </is>
      </c>
      <c r="I38" s="13" t="n"/>
      <c r="J38" s="12" t="inlineStr">
        <is>
          <t>小批</t>
        </is>
      </c>
    </row>
    <row r="39">
      <c r="A39" s="12" t="inlineStr">
        <is>
          <t>LOT-0038</t>
        </is>
      </c>
      <c r="B39" s="12" t="inlineStr">
        <is>
          <t>QFN48</t>
        </is>
      </c>
      <c r="C39" s="12" t="inlineStr">
        <is>
          <t>MCU01_V3</t>
        </is>
      </c>
      <c r="D39" s="13" t="n">
        <v>12500</v>
      </c>
      <c r="E39" s="13" t="n">
        <v>2.19</v>
      </c>
      <c r="F39" s="13" t="n">
        <v>0</v>
      </c>
      <c r="G39" s="13" t="n">
        <v>20.7</v>
      </c>
      <c r="H39" s="12" t="inlineStr">
        <is>
          <t>N</t>
        </is>
      </c>
      <c r="I39" s="13" t="n"/>
      <c r="J39" s="12" t="inlineStr">
        <is>
          <t>大批</t>
        </is>
      </c>
    </row>
    <row r="40">
      <c r="A40" s="12" t="inlineStr">
        <is>
          <t>LOT-0039</t>
        </is>
      </c>
      <c r="B40" s="12" t="inlineStr">
        <is>
          <t>SOP16</t>
        </is>
      </c>
      <c r="C40" s="12" t="inlineStr">
        <is>
          <t>LED03_V1</t>
        </is>
      </c>
      <c r="D40" s="13" t="n">
        <v>1600</v>
      </c>
      <c r="E40" s="13" t="n">
        <v>1.12</v>
      </c>
      <c r="F40" s="13" t="n">
        <v>0</v>
      </c>
      <c r="G40" s="13" t="n">
        <v>5.4</v>
      </c>
      <c r="H40" s="12" t="inlineStr">
        <is>
          <t>N</t>
        </is>
      </c>
      <c r="I40" s="13" t="n"/>
      <c r="J40" s="12" t="inlineStr">
        <is>
          <t>小批</t>
        </is>
      </c>
    </row>
    <row r="41">
      <c r="A41" s="12" t="inlineStr">
        <is>
          <t>LOT-0040</t>
        </is>
      </c>
      <c r="B41" s="12" t="inlineStr">
        <is>
          <t>SOP16</t>
        </is>
      </c>
      <c r="C41" s="12" t="inlineStr">
        <is>
          <t>LED03_V1</t>
        </is>
      </c>
      <c r="D41" s="13" t="n">
        <v>900</v>
      </c>
      <c r="E41" s="13" t="n">
        <v>1.29</v>
      </c>
      <c r="F41" s="13" t="n">
        <v>0</v>
      </c>
      <c r="G41" s="13" t="n">
        <v>12</v>
      </c>
      <c r="H41" s="12" t="inlineStr">
        <is>
          <t>N</t>
        </is>
      </c>
      <c r="I41" s="13" t="n"/>
      <c r="J41" s="12" t="inlineStr">
        <is>
          <t>小批</t>
        </is>
      </c>
    </row>
    <row r="42">
      <c r="A42" s="12" t="inlineStr">
        <is>
          <t>LOT-0041</t>
        </is>
      </c>
      <c r="B42" s="12" t="inlineStr">
        <is>
          <t>QFN48</t>
        </is>
      </c>
      <c r="C42" s="12" t="inlineStr">
        <is>
          <t>MCU01_V5</t>
        </is>
      </c>
      <c r="D42" s="13" t="n">
        <v>1400</v>
      </c>
      <c r="E42" s="13" t="n">
        <v>2.18</v>
      </c>
      <c r="F42" s="13" t="n">
        <v>0</v>
      </c>
      <c r="G42" s="13" t="n">
        <v>10.4</v>
      </c>
      <c r="H42" s="12" t="inlineStr">
        <is>
          <t>N</t>
        </is>
      </c>
      <c r="I42" s="13" t="n">
        <v>95.5</v>
      </c>
      <c r="J42" s="12" t="inlineStr">
        <is>
          <t>小批</t>
        </is>
      </c>
    </row>
    <row r="43">
      <c r="A43" s="12" t="inlineStr">
        <is>
          <t>LOT-0042</t>
        </is>
      </c>
      <c r="B43" s="12" t="inlineStr">
        <is>
          <t>QFN48</t>
        </is>
      </c>
      <c r="C43" s="12" t="inlineStr">
        <is>
          <t>MCU01_V5</t>
        </is>
      </c>
      <c r="D43" s="13" t="n">
        <v>7500</v>
      </c>
      <c r="E43" s="13" t="n">
        <v>1.97</v>
      </c>
      <c r="F43" s="13" t="n">
        <v>0</v>
      </c>
      <c r="G43" s="13" t="n">
        <v>11.6</v>
      </c>
      <c r="H43" s="12" t="inlineStr">
        <is>
          <t>N</t>
        </is>
      </c>
      <c r="I43" s="13" t="n"/>
      <c r="J43" s="12" t="inlineStr">
        <is>
          <t>中批</t>
        </is>
      </c>
    </row>
    <row r="44">
      <c r="A44" s="12" t="inlineStr">
        <is>
          <t>LOT-0043</t>
        </is>
      </c>
      <c r="B44" s="12" t="inlineStr">
        <is>
          <t>QFN48</t>
        </is>
      </c>
      <c r="C44" s="12" t="inlineStr">
        <is>
          <t>MCU01_V5</t>
        </is>
      </c>
      <c r="D44" s="13" t="n">
        <v>800</v>
      </c>
      <c r="E44" s="13" t="n">
        <v>2.05</v>
      </c>
      <c r="F44" s="13" t="n">
        <v>0</v>
      </c>
      <c r="G44" s="13" t="n">
        <v>2.5</v>
      </c>
      <c r="H44" s="12" t="inlineStr">
        <is>
          <t>Y</t>
        </is>
      </c>
      <c r="I44" s="13" t="n"/>
      <c r="J44" s="12" t="inlineStr">
        <is>
          <t>小批・急件</t>
        </is>
      </c>
    </row>
    <row r="45">
      <c r="A45" s="12" t="inlineStr">
        <is>
          <t>LOT-0044</t>
        </is>
      </c>
      <c r="B45" s="12" t="inlineStr">
        <is>
          <t>QFN32</t>
        </is>
      </c>
      <c r="C45" s="12" t="inlineStr">
        <is>
          <t>PMIC07_V2</t>
        </is>
      </c>
      <c r="D45" s="13" t="n">
        <v>600</v>
      </c>
      <c r="E45" s="13" t="n">
        <v>3.39</v>
      </c>
      <c r="F45" s="13" t="n">
        <v>0</v>
      </c>
      <c r="G45" s="13" t="n">
        <v>10.9</v>
      </c>
      <c r="H45" s="12" t="inlineStr">
        <is>
          <t>N</t>
        </is>
      </c>
      <c r="I45" s="13" t="n">
        <v>92.2</v>
      </c>
      <c r="J45" s="12" t="inlineStr">
        <is>
          <t>小批</t>
        </is>
      </c>
    </row>
    <row r="46">
      <c r="A46" s="12" t="inlineStr">
        <is>
          <t>LOT-0045</t>
        </is>
      </c>
      <c r="B46" s="12" t="inlineStr">
        <is>
          <t>QFN48</t>
        </is>
      </c>
      <c r="C46" s="12" t="inlineStr">
        <is>
          <t>MCU01_V3</t>
        </is>
      </c>
      <c r="D46" s="13" t="n">
        <v>7500</v>
      </c>
      <c r="E46" s="13" t="n">
        <v>2.11</v>
      </c>
      <c r="F46" s="13" t="n">
        <v>0</v>
      </c>
      <c r="G46" s="13" t="n">
        <v>20.9</v>
      </c>
      <c r="H46" s="12" t="inlineStr">
        <is>
          <t>N</t>
        </is>
      </c>
      <c r="I46" s="13" t="n">
        <v>96.3</v>
      </c>
      <c r="J46" s="12" t="inlineStr">
        <is>
          <t>中批</t>
        </is>
      </c>
    </row>
    <row r="47">
      <c r="A47" s="12" t="inlineStr">
        <is>
          <t>LOT-0046</t>
        </is>
      </c>
      <c r="B47" s="12" t="inlineStr">
        <is>
          <t>QFN48</t>
        </is>
      </c>
      <c r="C47" s="12" t="inlineStr">
        <is>
          <t>MCU01_V3</t>
        </is>
      </c>
      <c r="D47" s="13" t="n">
        <v>19000</v>
      </c>
      <c r="E47" s="13" t="n">
        <v>2.19</v>
      </c>
      <c r="F47" s="13" t="n">
        <v>0</v>
      </c>
      <c r="G47" s="13" t="n">
        <v>24.8</v>
      </c>
      <c r="H47" s="12" t="inlineStr">
        <is>
          <t>N</t>
        </is>
      </c>
      <c r="I47" s="13" t="n">
        <v>96.40000000000001</v>
      </c>
      <c r="J47" s="12" t="inlineStr">
        <is>
          <t>大批</t>
        </is>
      </c>
    </row>
    <row r="48">
      <c r="A48" s="12" t="inlineStr">
        <is>
          <t>LOT-0047</t>
        </is>
      </c>
      <c r="B48" s="12" t="inlineStr">
        <is>
          <t>QFN48</t>
        </is>
      </c>
      <c r="C48" s="12" t="inlineStr">
        <is>
          <t>MCU01_V3</t>
        </is>
      </c>
      <c r="D48" s="13" t="n">
        <v>800</v>
      </c>
      <c r="E48" s="13" t="n">
        <v>2.02</v>
      </c>
      <c r="F48" s="13" t="n">
        <v>0</v>
      </c>
      <c r="G48" s="13" t="n">
        <v>7.2</v>
      </c>
      <c r="H48" s="12" t="inlineStr">
        <is>
          <t>N</t>
        </is>
      </c>
      <c r="I48" s="13" t="n">
        <v>96.2</v>
      </c>
      <c r="J48" s="12" t="inlineStr">
        <is>
          <t>小批</t>
        </is>
      </c>
    </row>
    <row r="49">
      <c r="A49" s="12" t="inlineStr">
        <is>
          <t>LOT-0048</t>
        </is>
      </c>
      <c r="B49" s="12" t="inlineStr">
        <is>
          <t>QFN48</t>
        </is>
      </c>
      <c r="C49" s="12" t="inlineStr">
        <is>
          <t>MCU01_V3</t>
        </is>
      </c>
      <c r="D49" s="13" t="n">
        <v>1700</v>
      </c>
      <c r="E49" s="13" t="n">
        <v>2.27</v>
      </c>
      <c r="F49" s="13" t="n">
        <v>0</v>
      </c>
      <c r="G49" s="13" t="n">
        <v>8.800000000000001</v>
      </c>
      <c r="H49" s="12" t="inlineStr">
        <is>
          <t>N</t>
        </is>
      </c>
      <c r="I49" s="13" t="n">
        <v>95</v>
      </c>
      <c r="J49" s="12" t="inlineStr">
        <is>
          <t>小批</t>
        </is>
      </c>
    </row>
    <row r="50">
      <c r="A50" s="12" t="inlineStr">
        <is>
          <t>LOT-0049</t>
        </is>
      </c>
      <c r="B50" s="12" t="inlineStr">
        <is>
          <t>QFN48</t>
        </is>
      </c>
      <c r="C50" s="12" t="inlineStr">
        <is>
          <t>MCU01_V3</t>
        </is>
      </c>
      <c r="D50" s="13" t="n">
        <v>3000</v>
      </c>
      <c r="E50" s="13" t="n">
        <v>2.24</v>
      </c>
      <c r="F50" s="13" t="n">
        <v>0</v>
      </c>
      <c r="G50" s="13" t="n">
        <v>5.8</v>
      </c>
      <c r="H50" s="12" t="inlineStr">
        <is>
          <t>N</t>
        </is>
      </c>
      <c r="I50" s="13" t="n">
        <v>97</v>
      </c>
      <c r="J50" s="12" t="inlineStr">
        <is>
          <t>中批</t>
        </is>
      </c>
    </row>
    <row r="51">
      <c r="A51" s="12" t="inlineStr">
        <is>
          <t>LOT-0050</t>
        </is>
      </c>
      <c r="B51" s="12" t="inlineStr">
        <is>
          <t>QFN48</t>
        </is>
      </c>
      <c r="C51" s="12" t="inlineStr">
        <is>
          <t>MCU01_V3</t>
        </is>
      </c>
      <c r="D51" s="13" t="n">
        <v>700</v>
      </c>
      <c r="E51" s="13" t="n">
        <v>1.99</v>
      </c>
      <c r="F51" s="13" t="n">
        <v>0</v>
      </c>
      <c r="G51" s="13" t="n">
        <v>7.1</v>
      </c>
      <c r="H51" s="12" t="inlineStr">
        <is>
          <t>N</t>
        </is>
      </c>
      <c r="I51" s="13" t="n">
        <v>94.2</v>
      </c>
      <c r="J51" s="12" t="inlineStr">
        <is>
          <t>小批</t>
        </is>
      </c>
    </row>
    <row r="52">
      <c r="A52" s="12" t="inlineStr">
        <is>
          <t>LOT-0051</t>
        </is>
      </c>
      <c r="B52" s="12" t="inlineStr">
        <is>
          <t>QFN48</t>
        </is>
      </c>
      <c r="C52" s="12" t="inlineStr">
        <is>
          <t>MCU01_V5</t>
        </is>
      </c>
      <c r="D52" s="13" t="n">
        <v>8500</v>
      </c>
      <c r="E52" s="13" t="n">
        <v>2.13</v>
      </c>
      <c r="F52" s="13" t="n">
        <v>0</v>
      </c>
      <c r="G52" s="13" t="n">
        <v>16.6</v>
      </c>
      <c r="H52" s="12" t="inlineStr">
        <is>
          <t>N</t>
        </is>
      </c>
      <c r="I52" s="13" t="n">
        <v>94.3</v>
      </c>
      <c r="J52" s="12" t="inlineStr">
        <is>
          <t>中批</t>
        </is>
      </c>
    </row>
    <row r="53">
      <c r="A53" s="12" t="inlineStr">
        <is>
          <t>LOT-0052</t>
        </is>
      </c>
      <c r="B53" s="12" t="inlineStr">
        <is>
          <t>TSSOP28</t>
        </is>
      </c>
      <c r="C53" s="12" t="inlineStr">
        <is>
          <t>SENS11_V4</t>
        </is>
      </c>
      <c r="D53" s="13" t="n">
        <v>1100</v>
      </c>
      <c r="E53" s="13" t="n">
        <v>2.64</v>
      </c>
      <c r="F53" s="13" t="n">
        <v>0</v>
      </c>
      <c r="G53" s="13" t="n">
        <v>10.5</v>
      </c>
      <c r="H53" s="12" t="inlineStr">
        <is>
          <t>N</t>
        </is>
      </c>
      <c r="I53" s="13" t="n"/>
      <c r="J53" s="12" t="inlineStr">
        <is>
          <t>小批</t>
        </is>
      </c>
    </row>
    <row r="54">
      <c r="A54" s="12" t="inlineStr">
        <is>
          <t>LOT-0053</t>
        </is>
      </c>
      <c r="B54" s="12" t="inlineStr">
        <is>
          <t>TSSOP28</t>
        </is>
      </c>
      <c r="C54" s="12" t="inlineStr">
        <is>
          <t>SENS11_V4</t>
        </is>
      </c>
      <c r="D54" s="13" t="n">
        <v>1000</v>
      </c>
      <c r="E54" s="13" t="n">
        <v>2.74</v>
      </c>
      <c r="F54" s="13" t="n">
        <v>0</v>
      </c>
      <c r="G54" s="13" t="n">
        <v>4.9</v>
      </c>
      <c r="H54" s="12" t="inlineStr">
        <is>
          <t>N</t>
        </is>
      </c>
      <c r="I54" s="13" t="n">
        <v>89</v>
      </c>
      <c r="J54" s="12" t="inlineStr">
        <is>
          <t>小批</t>
        </is>
      </c>
    </row>
    <row r="55">
      <c r="A55" s="12" t="inlineStr">
        <is>
          <t>LOT-0054</t>
        </is>
      </c>
      <c r="B55" s="12" t="inlineStr">
        <is>
          <t>TSSOP28</t>
        </is>
      </c>
      <c r="C55" s="12" t="inlineStr">
        <is>
          <t>SENS11_V4</t>
        </is>
      </c>
      <c r="D55" s="13" t="n">
        <v>1200</v>
      </c>
      <c r="E55" s="13" t="n">
        <v>2.98</v>
      </c>
      <c r="F55" s="13" t="n">
        <v>0</v>
      </c>
      <c r="G55" s="13" t="n">
        <v>5</v>
      </c>
      <c r="H55" s="12" t="inlineStr">
        <is>
          <t>N</t>
        </is>
      </c>
      <c r="I55" s="13" t="n">
        <v>88.90000000000001</v>
      </c>
      <c r="J55" s="12" t="inlineStr">
        <is>
          <t>小批</t>
        </is>
      </c>
    </row>
    <row r="56">
      <c r="A56" s="12" t="inlineStr">
        <is>
          <t>LOT-0055</t>
        </is>
      </c>
      <c r="B56" s="12" t="inlineStr">
        <is>
          <t>SOP16</t>
        </is>
      </c>
      <c r="C56" s="12" t="inlineStr">
        <is>
          <t>LED03_V1</t>
        </is>
      </c>
      <c r="D56" s="13" t="n">
        <v>600</v>
      </c>
      <c r="E56" s="13" t="n">
        <v>1.28</v>
      </c>
      <c r="F56" s="13" t="n">
        <v>0</v>
      </c>
      <c r="G56" s="13" t="n">
        <v>9.800000000000001</v>
      </c>
      <c r="H56" s="12" t="inlineStr">
        <is>
          <t>N</t>
        </is>
      </c>
      <c r="I56" s="13" t="n"/>
      <c r="J56" s="12" t="inlineStr">
        <is>
          <t>小批</t>
        </is>
      </c>
    </row>
    <row r="57">
      <c r="A57" s="12" t="inlineStr">
        <is>
          <t>LOT-0056</t>
        </is>
      </c>
      <c r="B57" s="12" t="inlineStr">
        <is>
          <t>QFN32</t>
        </is>
      </c>
      <c r="C57" s="12" t="inlineStr">
        <is>
          <t>PMIC07_V2</t>
        </is>
      </c>
      <c r="D57" s="13" t="n">
        <v>1700</v>
      </c>
      <c r="E57" s="13" t="n">
        <v>3.21</v>
      </c>
      <c r="F57" s="13" t="n">
        <v>0</v>
      </c>
      <c r="G57" s="13" t="n">
        <v>14.4</v>
      </c>
      <c r="H57" s="12" t="inlineStr">
        <is>
          <t>N</t>
        </is>
      </c>
      <c r="I57" s="13" t="n">
        <v>91.5</v>
      </c>
      <c r="J57" s="12" t="inlineStr">
        <is>
          <t>小批</t>
        </is>
      </c>
    </row>
    <row r="58">
      <c r="A58" s="12" t="inlineStr">
        <is>
          <t>LOT-0057</t>
        </is>
      </c>
      <c r="B58" s="12" t="inlineStr">
        <is>
          <t>QFN32</t>
        </is>
      </c>
      <c r="C58" s="12" t="inlineStr">
        <is>
          <t>PMIC07_V2</t>
        </is>
      </c>
      <c r="D58" s="13" t="n">
        <v>9500</v>
      </c>
      <c r="E58" s="13" t="n">
        <v>3.21</v>
      </c>
      <c r="F58" s="13" t="n">
        <v>0</v>
      </c>
      <c r="G58" s="13" t="n">
        <v>12.2</v>
      </c>
      <c r="H58" s="12" t="inlineStr">
        <is>
          <t>N</t>
        </is>
      </c>
      <c r="I58" s="13" t="n"/>
      <c r="J58" s="12" t="inlineStr">
        <is>
          <t>中批</t>
        </is>
      </c>
    </row>
    <row r="59">
      <c r="A59" s="12" t="inlineStr">
        <is>
          <t>LOT-0058</t>
        </is>
      </c>
      <c r="B59" s="12" t="inlineStr">
        <is>
          <t>QFN32</t>
        </is>
      </c>
      <c r="C59" s="12" t="inlineStr">
        <is>
          <t>PMIC07_V2</t>
        </is>
      </c>
      <c r="D59" s="13" t="n">
        <v>700</v>
      </c>
      <c r="E59" s="13" t="n">
        <v>3.6</v>
      </c>
      <c r="F59" s="13" t="n">
        <v>0</v>
      </c>
      <c r="G59" s="13" t="n">
        <v>8</v>
      </c>
      <c r="H59" s="12" t="inlineStr">
        <is>
          <t>N</t>
        </is>
      </c>
      <c r="I59" s="13" t="n"/>
      <c r="J59" s="12" t="inlineStr">
        <is>
          <t>小批</t>
        </is>
      </c>
    </row>
    <row r="60">
      <c r="A60" s="12" t="inlineStr">
        <is>
          <t>LOT-0059</t>
        </is>
      </c>
      <c r="B60" s="12" t="inlineStr">
        <is>
          <t>QFN32</t>
        </is>
      </c>
      <c r="C60" s="12" t="inlineStr">
        <is>
          <t>PMIC07_V2</t>
        </is>
      </c>
      <c r="D60" s="13" t="n">
        <v>13500</v>
      </c>
      <c r="E60" s="13" t="n">
        <v>3.43</v>
      </c>
      <c r="F60" s="13" t="n">
        <v>0</v>
      </c>
      <c r="G60" s="13" t="n">
        <v>28.9</v>
      </c>
      <c r="H60" s="12" t="inlineStr">
        <is>
          <t>N</t>
        </is>
      </c>
      <c r="I60" s="13" t="n"/>
      <c r="J60" s="12" t="inlineStr">
        <is>
          <t>大批</t>
        </is>
      </c>
    </row>
    <row r="61">
      <c r="A61" s="12" t="inlineStr">
        <is>
          <t>LOT-0060</t>
        </is>
      </c>
      <c r="B61" s="12" t="inlineStr">
        <is>
          <t>QFN48</t>
        </is>
      </c>
      <c r="C61" s="12" t="inlineStr">
        <is>
          <t>MCU01_V3</t>
        </is>
      </c>
      <c r="D61" s="13" t="n">
        <v>1800</v>
      </c>
      <c r="E61" s="13" t="n">
        <v>2.2</v>
      </c>
      <c r="F61" s="13" t="n">
        <v>0</v>
      </c>
      <c r="G61" s="13" t="n">
        <v>12.1</v>
      </c>
      <c r="H61" s="12" t="inlineStr">
        <is>
          <t>N</t>
        </is>
      </c>
      <c r="I61" s="13" t="n">
        <v>94.40000000000001</v>
      </c>
      <c r="J61" s="12" t="inlineStr">
        <is>
          <t>小批</t>
        </is>
      </c>
    </row>
    <row r="62">
      <c r="A62" s="12" t="inlineStr">
        <is>
          <t>LOT-0061</t>
        </is>
      </c>
      <c r="B62" s="12" t="inlineStr">
        <is>
          <t>QFN32</t>
        </is>
      </c>
      <c r="C62" s="12" t="inlineStr">
        <is>
          <t>PMIC07_V2</t>
        </is>
      </c>
      <c r="D62" s="13" t="n">
        <v>2000</v>
      </c>
      <c r="E62" s="13" t="n">
        <v>3.3</v>
      </c>
      <c r="F62" s="13" t="n">
        <v>0</v>
      </c>
      <c r="G62" s="13" t="n">
        <v>9.9</v>
      </c>
      <c r="H62" s="12" t="inlineStr">
        <is>
          <t>N</t>
        </is>
      </c>
      <c r="I62" s="13" t="n">
        <v>89.8</v>
      </c>
      <c r="J62" s="12" t="inlineStr">
        <is>
          <t>中批</t>
        </is>
      </c>
    </row>
    <row r="63">
      <c r="A63" s="12" t="inlineStr">
        <is>
          <t>LOT-0062</t>
        </is>
      </c>
      <c r="B63" s="12" t="inlineStr">
        <is>
          <t>QFN32</t>
        </is>
      </c>
      <c r="C63" s="12" t="inlineStr">
        <is>
          <t>PMIC07_V2</t>
        </is>
      </c>
      <c r="D63" s="13" t="n">
        <v>3000</v>
      </c>
      <c r="E63" s="13" t="n">
        <v>3.55</v>
      </c>
      <c r="F63" s="13" t="n">
        <v>0</v>
      </c>
      <c r="G63" s="13" t="n">
        <v>13.9</v>
      </c>
      <c r="H63" s="12" t="inlineStr">
        <is>
          <t>N</t>
        </is>
      </c>
      <c r="I63" s="13" t="n">
        <v>92.3</v>
      </c>
      <c r="J63" s="12" t="inlineStr">
        <is>
          <t>中批</t>
        </is>
      </c>
    </row>
    <row r="64">
      <c r="A64" s="12" t="inlineStr">
        <is>
          <t>LOT-0063</t>
        </is>
      </c>
      <c r="B64" s="12" t="inlineStr">
        <is>
          <t>QFN32</t>
        </is>
      </c>
      <c r="C64" s="12" t="inlineStr">
        <is>
          <t>PMIC07_V2</t>
        </is>
      </c>
      <c r="D64" s="13" t="n">
        <v>22000</v>
      </c>
      <c r="E64" s="13" t="n">
        <v>3.2</v>
      </c>
      <c r="F64" s="13" t="n">
        <v>0</v>
      </c>
      <c r="G64" s="13" t="n">
        <v>54.7</v>
      </c>
      <c r="H64" s="12" t="inlineStr">
        <is>
          <t>N</t>
        </is>
      </c>
      <c r="I64" s="13" t="n">
        <v>90.8</v>
      </c>
      <c r="J64" s="12" t="inlineStr">
        <is>
          <t>大批</t>
        </is>
      </c>
    </row>
    <row r="65">
      <c r="A65" s="12" t="inlineStr">
        <is>
          <t>LOT-0064</t>
        </is>
      </c>
      <c r="B65" s="12" t="inlineStr">
        <is>
          <t>QFN32</t>
        </is>
      </c>
      <c r="C65" s="12" t="inlineStr">
        <is>
          <t>PMIC07_V2</t>
        </is>
      </c>
      <c r="D65" s="13" t="n">
        <v>1300</v>
      </c>
      <c r="E65" s="13" t="n">
        <v>3.61</v>
      </c>
      <c r="F65" s="13" t="n">
        <v>0</v>
      </c>
      <c r="G65" s="13" t="n">
        <v>6.9</v>
      </c>
      <c r="H65" s="12" t="inlineStr">
        <is>
          <t>N</t>
        </is>
      </c>
      <c r="I65" s="13" t="n">
        <v>90.40000000000001</v>
      </c>
      <c r="J65" s="12" t="inlineStr">
        <is>
          <t>小批</t>
        </is>
      </c>
    </row>
    <row r="66">
      <c r="A66" s="12" t="inlineStr">
        <is>
          <t>LOT-0065</t>
        </is>
      </c>
      <c r="B66" s="12" t="inlineStr">
        <is>
          <t>QFN32</t>
        </is>
      </c>
      <c r="C66" s="12" t="inlineStr">
        <is>
          <t>PMIC07_V2</t>
        </is>
      </c>
      <c r="D66" s="13" t="n">
        <v>800</v>
      </c>
      <c r="E66" s="13" t="n">
        <v>3.26</v>
      </c>
      <c r="F66" s="13" t="n">
        <v>0</v>
      </c>
      <c r="G66" s="13" t="n">
        <v>8.800000000000001</v>
      </c>
      <c r="H66" s="12" t="inlineStr">
        <is>
          <t>N</t>
        </is>
      </c>
      <c r="I66" s="13" t="n">
        <v>92.7</v>
      </c>
      <c r="J66" s="12" t="inlineStr">
        <is>
          <t>小批</t>
        </is>
      </c>
    </row>
    <row r="67">
      <c r="A67" s="12" t="inlineStr">
        <is>
          <t>LOT-0066</t>
        </is>
      </c>
      <c r="B67" s="12" t="inlineStr">
        <is>
          <t>QFN32</t>
        </is>
      </c>
      <c r="C67" s="12" t="inlineStr">
        <is>
          <t>PMIC07_V2</t>
        </is>
      </c>
      <c r="D67" s="13" t="n">
        <v>5500</v>
      </c>
      <c r="E67" s="13" t="n">
        <v>3.34</v>
      </c>
      <c r="F67" s="13" t="n">
        <v>0</v>
      </c>
      <c r="G67" s="13" t="n">
        <v>16.8</v>
      </c>
      <c r="H67" s="12" t="inlineStr">
        <is>
          <t>N</t>
        </is>
      </c>
      <c r="I67" s="13" t="n">
        <v>93.40000000000001</v>
      </c>
      <c r="J67" s="12" t="inlineStr">
        <is>
          <t>中批</t>
        </is>
      </c>
    </row>
    <row r="68">
      <c r="A68" s="12" t="inlineStr">
        <is>
          <t>LOT-0067</t>
        </is>
      </c>
      <c r="B68" s="12" t="inlineStr">
        <is>
          <t>QFN32</t>
        </is>
      </c>
      <c r="C68" s="12" t="inlineStr">
        <is>
          <t>PMIC07_V2</t>
        </is>
      </c>
      <c r="D68" s="13" t="n">
        <v>2000</v>
      </c>
      <c r="E68" s="13" t="n">
        <v>3.6</v>
      </c>
      <c r="F68" s="13" t="n">
        <v>0</v>
      </c>
      <c r="G68" s="13" t="n">
        <v>15.9</v>
      </c>
      <c r="H68" s="12" t="inlineStr">
        <is>
          <t>N</t>
        </is>
      </c>
      <c r="I68" s="13" t="n">
        <v>92.09999999999999</v>
      </c>
      <c r="J68" s="12" t="inlineStr">
        <is>
          <t>小批</t>
        </is>
      </c>
    </row>
    <row r="69">
      <c r="A69" s="12" t="inlineStr">
        <is>
          <t>LOT-0068</t>
        </is>
      </c>
      <c r="B69" s="12" t="inlineStr">
        <is>
          <t>QFN32</t>
        </is>
      </c>
      <c r="C69" s="12" t="inlineStr">
        <is>
          <t>PMIC07_V2</t>
        </is>
      </c>
      <c r="D69" s="13" t="n">
        <v>4500</v>
      </c>
      <c r="E69" s="13" t="n">
        <v>3.35</v>
      </c>
      <c r="F69" s="13" t="n">
        <v>0</v>
      </c>
      <c r="G69" s="13" t="n">
        <v>13.1</v>
      </c>
      <c r="H69" s="12" t="inlineStr">
        <is>
          <t>N</t>
        </is>
      </c>
      <c r="I69" s="13" t="n"/>
      <c r="J69" s="12" t="inlineStr">
        <is>
          <t>中批</t>
        </is>
      </c>
    </row>
    <row r="70">
      <c r="A70" s="12" t="inlineStr">
        <is>
          <t>LOT-0069</t>
        </is>
      </c>
      <c r="B70" s="12" t="inlineStr">
        <is>
          <t>QFN32</t>
        </is>
      </c>
      <c r="C70" s="12" t="inlineStr">
        <is>
          <t>PMIC07_V2</t>
        </is>
      </c>
      <c r="D70" s="13" t="n">
        <v>900</v>
      </c>
      <c r="E70" s="13" t="n">
        <v>3.27</v>
      </c>
      <c r="F70" s="13" t="n">
        <v>0</v>
      </c>
      <c r="G70" s="13" t="n">
        <v>5.3</v>
      </c>
      <c r="H70" s="12" t="inlineStr">
        <is>
          <t>N</t>
        </is>
      </c>
      <c r="I70" s="13" t="n"/>
      <c r="J70" s="12" t="inlineStr">
        <is>
          <t>小批</t>
        </is>
      </c>
    </row>
    <row r="71">
      <c r="A71" s="12" t="inlineStr">
        <is>
          <t>LOT-0070</t>
        </is>
      </c>
      <c r="B71" s="12" t="inlineStr">
        <is>
          <t>QFN32</t>
        </is>
      </c>
      <c r="C71" s="12" t="inlineStr">
        <is>
          <t>PMIC07_V2</t>
        </is>
      </c>
      <c r="D71" s="13" t="n">
        <v>2000</v>
      </c>
      <c r="E71" s="13" t="n">
        <v>3.38</v>
      </c>
      <c r="F71" s="13" t="n">
        <v>0</v>
      </c>
      <c r="G71" s="13" t="n">
        <v>11</v>
      </c>
      <c r="H71" s="12" t="inlineStr">
        <is>
          <t>N</t>
        </is>
      </c>
      <c r="I71" s="13" t="n"/>
      <c r="J71" s="12" t="inlineStr">
        <is>
          <t>小批</t>
        </is>
      </c>
    </row>
    <row r="72">
      <c r="A72" s="12" t="inlineStr">
        <is>
          <t>LOT-0071</t>
        </is>
      </c>
      <c r="B72" s="12" t="inlineStr">
        <is>
          <t>QFN48</t>
        </is>
      </c>
      <c r="C72" s="12" t="inlineStr">
        <is>
          <t>MCU01_V5</t>
        </is>
      </c>
      <c r="D72" s="13" t="n">
        <v>1700</v>
      </c>
      <c r="E72" s="13" t="n">
        <v>2.04</v>
      </c>
      <c r="F72" s="13" t="n">
        <v>0</v>
      </c>
      <c r="G72" s="13" t="n">
        <v>10.5</v>
      </c>
      <c r="H72" s="12" t="inlineStr">
        <is>
          <t>N</t>
        </is>
      </c>
      <c r="I72" s="13" t="n"/>
      <c r="J72" s="12" t="inlineStr">
        <is>
          <t>小批</t>
        </is>
      </c>
    </row>
    <row r="73">
      <c r="A73" s="12" t="inlineStr">
        <is>
          <t>LOT-0072</t>
        </is>
      </c>
      <c r="B73" s="12" t="inlineStr">
        <is>
          <t>QFN48</t>
        </is>
      </c>
      <c r="C73" s="12" t="inlineStr">
        <is>
          <t>MCU01_V5</t>
        </is>
      </c>
      <c r="D73" s="13" t="n">
        <v>3500</v>
      </c>
      <c r="E73" s="13" t="n">
        <v>2.18</v>
      </c>
      <c r="F73" s="13" t="n">
        <v>0</v>
      </c>
      <c r="G73" s="13" t="n">
        <v>8.800000000000001</v>
      </c>
      <c r="H73" s="12" t="inlineStr">
        <is>
          <t>N</t>
        </is>
      </c>
      <c r="I73" s="13" t="n">
        <v>93.40000000000001</v>
      </c>
      <c r="J73" s="12" t="inlineStr">
        <is>
          <t>中批</t>
        </is>
      </c>
    </row>
    <row r="74">
      <c r="A74" s="12" t="inlineStr">
        <is>
          <t>LOT-0073</t>
        </is>
      </c>
      <c r="B74" s="12" t="inlineStr">
        <is>
          <t>QFN48</t>
        </is>
      </c>
      <c r="C74" s="12" t="inlineStr">
        <is>
          <t>MCU01_V5</t>
        </is>
      </c>
      <c r="D74" s="13" t="n">
        <v>7500</v>
      </c>
      <c r="E74" s="13" t="n">
        <v>2.07</v>
      </c>
      <c r="F74" s="13" t="n">
        <v>0</v>
      </c>
      <c r="G74" s="13" t="n">
        <v>5.6</v>
      </c>
      <c r="H74" s="12" t="inlineStr">
        <is>
          <t>Y</t>
        </is>
      </c>
      <c r="I74" s="13" t="n"/>
      <c r="J74" s="12" t="inlineStr">
        <is>
          <t>中批・急件</t>
        </is>
      </c>
    </row>
    <row r="75">
      <c r="A75" s="12" t="inlineStr">
        <is>
          <t>LOT-0074</t>
        </is>
      </c>
      <c r="B75" s="12" t="inlineStr">
        <is>
          <t>QFN48</t>
        </is>
      </c>
      <c r="C75" s="12" t="inlineStr">
        <is>
          <t>MCU01_V5</t>
        </is>
      </c>
      <c r="D75" s="13" t="n">
        <v>1300</v>
      </c>
      <c r="E75" s="13" t="n">
        <v>2.21</v>
      </c>
      <c r="F75" s="13" t="n">
        <v>0</v>
      </c>
      <c r="G75" s="13" t="n">
        <v>6.8</v>
      </c>
      <c r="H75" s="12" t="inlineStr">
        <is>
          <t>N</t>
        </is>
      </c>
      <c r="I75" s="13" t="n">
        <v>93.8</v>
      </c>
      <c r="J75" s="12" t="inlineStr">
        <is>
          <t>小批</t>
        </is>
      </c>
    </row>
    <row r="76">
      <c r="A76" s="12" t="inlineStr">
        <is>
          <t>LOT-0075</t>
        </is>
      </c>
      <c r="B76" s="12" t="inlineStr">
        <is>
          <t>QFN48</t>
        </is>
      </c>
      <c r="C76" s="12" t="inlineStr">
        <is>
          <t>MCU01_V5</t>
        </is>
      </c>
      <c r="D76" s="13" t="n">
        <v>600</v>
      </c>
      <c r="E76" s="13" t="n">
        <v>2.12</v>
      </c>
      <c r="F76" s="13" t="n">
        <v>0</v>
      </c>
      <c r="G76" s="13" t="n">
        <v>5</v>
      </c>
      <c r="H76" s="12" t="inlineStr">
        <is>
          <t>N</t>
        </is>
      </c>
      <c r="I76" s="13" t="n">
        <v>94.7</v>
      </c>
      <c r="J76" s="12" t="inlineStr">
        <is>
          <t>小批</t>
        </is>
      </c>
    </row>
    <row r="77">
      <c r="A77" s="12" t="inlineStr">
        <is>
          <t>LOT-0076</t>
        </is>
      </c>
      <c r="B77" s="12" t="inlineStr">
        <is>
          <t>QFN48</t>
        </is>
      </c>
      <c r="C77" s="12" t="inlineStr">
        <is>
          <t>MCU01_V5</t>
        </is>
      </c>
      <c r="D77" s="13" t="n">
        <v>500</v>
      </c>
      <c r="E77" s="13" t="n">
        <v>2.24</v>
      </c>
      <c r="F77" s="13" t="n">
        <v>0</v>
      </c>
      <c r="G77" s="13" t="n">
        <v>4.9</v>
      </c>
      <c r="H77" s="12" t="inlineStr">
        <is>
          <t>N</t>
        </is>
      </c>
      <c r="I77" s="13" t="n">
        <v>93.90000000000001</v>
      </c>
      <c r="J77" s="12" t="inlineStr">
        <is>
          <t>小批</t>
        </is>
      </c>
    </row>
    <row r="78">
      <c r="A78" s="12" t="inlineStr">
        <is>
          <t>LOT-0077</t>
        </is>
      </c>
      <c r="B78" s="12" t="inlineStr">
        <is>
          <t>QFN48</t>
        </is>
      </c>
      <c r="C78" s="12" t="inlineStr">
        <is>
          <t>MCU01_V5</t>
        </is>
      </c>
      <c r="D78" s="13" t="n">
        <v>1300</v>
      </c>
      <c r="E78" s="13" t="n">
        <v>2.17</v>
      </c>
      <c r="F78" s="13" t="n">
        <v>0</v>
      </c>
      <c r="G78" s="13" t="n">
        <v>10.4</v>
      </c>
      <c r="H78" s="12" t="inlineStr">
        <is>
          <t>N</t>
        </is>
      </c>
      <c r="I78" s="13" t="n">
        <v>96.2</v>
      </c>
      <c r="J78" s="12" t="inlineStr">
        <is>
          <t>小批</t>
        </is>
      </c>
    </row>
    <row r="79">
      <c r="A79" s="12" t="inlineStr">
        <is>
          <t>LOT-0078</t>
        </is>
      </c>
      <c r="B79" s="12" t="inlineStr">
        <is>
          <t>SOP16</t>
        </is>
      </c>
      <c r="C79" s="12" t="inlineStr">
        <is>
          <t>LED03_V1</t>
        </is>
      </c>
      <c r="D79" s="13" t="n">
        <v>1500</v>
      </c>
      <c r="E79" s="13" t="n">
        <v>1.11</v>
      </c>
      <c r="F79" s="13" t="n">
        <v>0</v>
      </c>
      <c r="G79" s="13" t="n">
        <v>12.6</v>
      </c>
      <c r="H79" s="12" t="inlineStr">
        <is>
          <t>N</t>
        </is>
      </c>
      <c r="I79" s="13" t="n"/>
      <c r="J79" s="12" t="inlineStr">
        <is>
          <t>小批</t>
        </is>
      </c>
    </row>
    <row r="80">
      <c r="A80" s="12" t="inlineStr">
        <is>
          <t>LOT-0079</t>
        </is>
      </c>
      <c r="B80" s="12" t="inlineStr">
        <is>
          <t>QFN32</t>
        </is>
      </c>
      <c r="C80" s="12" t="inlineStr">
        <is>
          <t>PMIC07_V2</t>
        </is>
      </c>
      <c r="D80" s="13" t="n">
        <v>18500</v>
      </c>
      <c r="E80" s="13" t="n">
        <v>3.47</v>
      </c>
      <c r="F80" s="13" t="n">
        <v>0</v>
      </c>
      <c r="G80" s="13" t="n">
        <v>33</v>
      </c>
      <c r="H80" s="12" t="inlineStr">
        <is>
          <t>N</t>
        </is>
      </c>
      <c r="I80" s="13" t="n"/>
      <c r="J80" s="12" t="inlineStr">
        <is>
          <t>大批</t>
        </is>
      </c>
    </row>
    <row r="81">
      <c r="A81" s="12" t="inlineStr">
        <is>
          <t>LOT-0080</t>
        </is>
      </c>
      <c r="B81" s="12" t="inlineStr">
        <is>
          <t>QFN32</t>
        </is>
      </c>
      <c r="C81" s="12" t="inlineStr">
        <is>
          <t>PMIC07_V2</t>
        </is>
      </c>
      <c r="D81" s="13" t="n">
        <v>2500</v>
      </c>
      <c r="E81" s="13" t="n">
        <v>3.4</v>
      </c>
      <c r="F81" s="13" t="n">
        <v>0</v>
      </c>
      <c r="G81" s="13" t="n">
        <v>16.8</v>
      </c>
      <c r="H81" s="12" t="inlineStr">
        <is>
          <t>N</t>
        </is>
      </c>
      <c r="I81" s="13" t="n"/>
      <c r="J81" s="12" t="inlineStr">
        <is>
          <t>中批</t>
        </is>
      </c>
    </row>
    <row r="82">
      <c r="A82" s="12" t="inlineStr">
        <is>
          <t>LOT-0081</t>
        </is>
      </c>
      <c r="B82" s="12" t="inlineStr">
        <is>
          <t>QFN32</t>
        </is>
      </c>
      <c r="C82" s="12" t="inlineStr">
        <is>
          <t>PMIC07_V2</t>
        </is>
      </c>
      <c r="D82" s="13" t="n">
        <v>700</v>
      </c>
      <c r="E82" s="13" t="n">
        <v>3.44</v>
      </c>
      <c r="F82" s="13" t="n">
        <v>0</v>
      </c>
      <c r="G82" s="13" t="n">
        <v>11.6</v>
      </c>
      <c r="H82" s="12" t="inlineStr">
        <is>
          <t>N</t>
        </is>
      </c>
      <c r="I82" s="13" t="n"/>
      <c r="J82" s="12" t="inlineStr">
        <is>
          <t>小批</t>
        </is>
      </c>
    </row>
    <row r="83">
      <c r="A83" s="12" t="inlineStr">
        <is>
          <t>LOT-0082</t>
        </is>
      </c>
      <c r="B83" s="12" t="inlineStr">
        <is>
          <t>QFN48</t>
        </is>
      </c>
      <c r="C83" s="12" t="inlineStr">
        <is>
          <t>MCU01_V3</t>
        </is>
      </c>
      <c r="D83" s="13" t="n">
        <v>1900</v>
      </c>
      <c r="E83" s="13" t="n">
        <v>2.14</v>
      </c>
      <c r="F83" s="13" t="n">
        <v>0</v>
      </c>
      <c r="G83" s="13" t="n">
        <v>5.1</v>
      </c>
      <c r="H83" s="12" t="inlineStr">
        <is>
          <t>N</t>
        </is>
      </c>
      <c r="I83" s="13" t="n">
        <v>97.09999999999999</v>
      </c>
      <c r="J83" s="12" t="inlineStr">
        <is>
          <t>小批</t>
        </is>
      </c>
    </row>
    <row r="84">
      <c r="A84" s="12" t="inlineStr">
        <is>
          <t>LOT-0083</t>
        </is>
      </c>
      <c r="B84" s="12" t="inlineStr">
        <is>
          <t>QFN48</t>
        </is>
      </c>
      <c r="C84" s="12" t="inlineStr">
        <is>
          <t>MCU01_V3</t>
        </is>
      </c>
      <c r="D84" s="13" t="n">
        <v>8000</v>
      </c>
      <c r="E84" s="13" t="n">
        <v>2.08</v>
      </c>
      <c r="F84" s="13" t="n">
        <v>0</v>
      </c>
      <c r="G84" s="13" t="n">
        <v>19</v>
      </c>
      <c r="H84" s="12" t="inlineStr">
        <is>
          <t>N</t>
        </is>
      </c>
      <c r="I84" s="13" t="n">
        <v>94.8</v>
      </c>
      <c r="J84" s="12" t="inlineStr">
        <is>
          <t>中批</t>
        </is>
      </c>
    </row>
    <row r="85">
      <c r="A85" s="12" t="inlineStr">
        <is>
          <t>LOT-0084</t>
        </is>
      </c>
      <c r="B85" s="12" t="inlineStr">
        <is>
          <t>QFN48</t>
        </is>
      </c>
      <c r="C85" s="12" t="inlineStr">
        <is>
          <t>MCU01_V3</t>
        </is>
      </c>
      <c r="D85" s="13" t="n">
        <v>1900</v>
      </c>
      <c r="E85" s="13" t="n">
        <v>1.98</v>
      </c>
      <c r="F85" s="13" t="n">
        <v>0</v>
      </c>
      <c r="G85" s="13" t="n">
        <v>11.2</v>
      </c>
      <c r="H85" s="12" t="inlineStr">
        <is>
          <t>N</t>
        </is>
      </c>
      <c r="I85" s="13" t="n"/>
      <c r="J85" s="12" t="inlineStr">
        <is>
          <t>小批</t>
        </is>
      </c>
    </row>
    <row r="86">
      <c r="A86" s="12" t="inlineStr">
        <is>
          <t>LOT-0085</t>
        </is>
      </c>
      <c r="B86" s="12" t="inlineStr">
        <is>
          <t>QFN48</t>
        </is>
      </c>
      <c r="C86" s="12" t="inlineStr">
        <is>
          <t>MCU01_V3</t>
        </is>
      </c>
      <c r="D86" s="13" t="n">
        <v>13500</v>
      </c>
      <c r="E86" s="13" t="n">
        <v>2.2</v>
      </c>
      <c r="F86" s="13" t="n">
        <v>0</v>
      </c>
      <c r="G86" s="13" t="n">
        <v>11.9</v>
      </c>
      <c r="H86" s="12" t="inlineStr">
        <is>
          <t>N</t>
        </is>
      </c>
      <c r="I86" s="13" t="n">
        <v>97.40000000000001</v>
      </c>
      <c r="J86" s="12" t="inlineStr">
        <is>
          <t>大批</t>
        </is>
      </c>
    </row>
    <row r="87">
      <c r="A87" s="12" t="inlineStr">
        <is>
          <t>LOT-0086</t>
        </is>
      </c>
      <c r="B87" s="12" t="inlineStr">
        <is>
          <t>QFN48</t>
        </is>
      </c>
      <c r="C87" s="12" t="inlineStr">
        <is>
          <t>MCU01_V5</t>
        </is>
      </c>
      <c r="D87" s="13" t="n">
        <v>9000</v>
      </c>
      <c r="E87" s="13" t="n">
        <v>1.99</v>
      </c>
      <c r="F87" s="13" t="n">
        <v>0</v>
      </c>
      <c r="G87" s="13" t="n">
        <v>5.9</v>
      </c>
      <c r="H87" s="12" t="inlineStr">
        <is>
          <t>Y</t>
        </is>
      </c>
      <c r="I87" s="13" t="n"/>
      <c r="J87" s="12" t="inlineStr">
        <is>
          <t>中批・急件</t>
        </is>
      </c>
    </row>
    <row r="88">
      <c r="A88" s="12" t="inlineStr">
        <is>
          <t>LOT-0087</t>
        </is>
      </c>
      <c r="B88" s="12" t="inlineStr">
        <is>
          <t>QFN48</t>
        </is>
      </c>
      <c r="C88" s="12" t="inlineStr">
        <is>
          <t>MCU01_V5</t>
        </is>
      </c>
      <c r="D88" s="13" t="n">
        <v>1700</v>
      </c>
      <c r="E88" s="13" t="n">
        <v>2.19</v>
      </c>
      <c r="F88" s="13" t="n">
        <v>0</v>
      </c>
      <c r="G88" s="13" t="n">
        <v>9.5</v>
      </c>
      <c r="H88" s="12" t="inlineStr">
        <is>
          <t>N</t>
        </is>
      </c>
      <c r="I88" s="13" t="n"/>
      <c r="J88" s="12" t="inlineStr">
        <is>
          <t>小批</t>
        </is>
      </c>
    </row>
    <row r="89">
      <c r="A89" s="12" t="inlineStr">
        <is>
          <t>LOT-0088</t>
        </is>
      </c>
      <c r="B89" s="12" t="inlineStr">
        <is>
          <t>TSSOP28</t>
        </is>
      </c>
      <c r="C89" s="12" t="inlineStr">
        <is>
          <t>SENS11_V4</t>
        </is>
      </c>
      <c r="D89" s="13" t="n">
        <v>700</v>
      </c>
      <c r="E89" s="13" t="n">
        <v>2.77</v>
      </c>
      <c r="F89" s="13" t="n">
        <v>0</v>
      </c>
      <c r="G89" s="13" t="n">
        <v>4.7</v>
      </c>
      <c r="H89" s="12" t="inlineStr">
        <is>
          <t>N</t>
        </is>
      </c>
      <c r="I89" s="13" t="n">
        <v>88.3</v>
      </c>
      <c r="J89" s="12" t="inlineStr">
        <is>
          <t>小批</t>
        </is>
      </c>
    </row>
    <row r="90">
      <c r="A90" s="12" t="inlineStr">
        <is>
          <t>LOT-0089</t>
        </is>
      </c>
      <c r="B90" s="12" t="inlineStr">
        <is>
          <t>SOP16</t>
        </is>
      </c>
      <c r="C90" s="12" t="inlineStr">
        <is>
          <t>LED03_V1</t>
        </is>
      </c>
      <c r="D90" s="13" t="n">
        <v>1500</v>
      </c>
      <c r="E90" s="13" t="n">
        <v>1.15</v>
      </c>
      <c r="F90" s="13" t="n">
        <v>0</v>
      </c>
      <c r="G90" s="13" t="n">
        <v>5.6</v>
      </c>
      <c r="H90" s="12" t="inlineStr">
        <is>
          <t>N</t>
        </is>
      </c>
      <c r="I90" s="13" t="n"/>
      <c r="J90" s="12" t="inlineStr">
        <is>
          <t>小批</t>
        </is>
      </c>
    </row>
    <row r="91">
      <c r="A91" s="12" t="inlineStr">
        <is>
          <t>LOT-0090</t>
        </is>
      </c>
      <c r="B91" s="12" t="inlineStr">
        <is>
          <t>QFN48</t>
        </is>
      </c>
      <c r="C91" s="12" t="inlineStr">
        <is>
          <t>MCU01_V5</t>
        </is>
      </c>
      <c r="D91" s="13" t="n">
        <v>2000</v>
      </c>
      <c r="E91" s="13" t="n">
        <v>2.25</v>
      </c>
      <c r="F91" s="13" t="n">
        <v>0</v>
      </c>
      <c r="G91" s="13" t="n">
        <v>13.2</v>
      </c>
      <c r="H91" s="12" t="inlineStr">
        <is>
          <t>N</t>
        </is>
      </c>
      <c r="I91" s="13" t="n">
        <v>96</v>
      </c>
      <c r="J91" s="12" t="inlineStr">
        <is>
          <t>中批</t>
        </is>
      </c>
    </row>
  </sheetData>
  <dataValidations count="1">
    <dataValidation sqref="H2:H5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6" customWidth="1" min="4" max="4"/>
    <col width="24" customWidth="1" min="5" max="5"/>
    <col width="17" customWidth="1" min="6" max="6"/>
  </cols>
  <sheetData>
    <row r="1" ht="22" customHeight="1">
      <c r="A1" s="11" t="inlineStr">
        <is>
          <t>machine_id</t>
        </is>
      </c>
      <c r="B1" s="11" t="inlineStr">
        <is>
          <t>sites</t>
        </is>
      </c>
      <c r="C1" s="11" t="inlineStr">
        <is>
          <t>kit_now</t>
        </is>
      </c>
      <c r="D1" s="11" t="inlineStr">
        <is>
          <t>prog_now</t>
        </is>
      </c>
      <c r="E1" s="11" t="inlineStr">
        <is>
          <t>can_packages</t>
        </is>
      </c>
      <c r="F1" s="11" t="inlineStr">
        <is>
          <t>available_at_h</t>
        </is>
      </c>
    </row>
    <row r="2">
      <c r="A2" s="12" t="inlineStr">
        <is>
          <t>T01</t>
        </is>
      </c>
      <c r="B2" s="13" t="n">
        <v>8</v>
      </c>
      <c r="C2" s="12" t="inlineStr">
        <is>
          <t>QFN48</t>
        </is>
      </c>
      <c r="D2" s="12" t="inlineStr">
        <is>
          <t>MCU01_V3</t>
        </is>
      </c>
      <c r="E2" s="12" t="inlineStr">
        <is>
          <t>QFN48|QFN32</t>
        </is>
      </c>
      <c r="F2" s="13" t="n">
        <v>0</v>
      </c>
    </row>
    <row r="3">
      <c r="A3" s="12" t="inlineStr">
        <is>
          <t>T02</t>
        </is>
      </c>
      <c r="B3" s="13" t="n">
        <v>8</v>
      </c>
      <c r="C3" s="12" t="inlineStr">
        <is>
          <t>QFN48</t>
        </is>
      </c>
      <c r="D3" s="12" t="inlineStr">
        <is>
          <t>MCU01_V5</t>
        </is>
      </c>
      <c r="E3" s="12" t="inlineStr">
        <is>
          <t>QFN48|QFN32</t>
        </is>
      </c>
      <c r="F3" s="13" t="n">
        <v>0</v>
      </c>
    </row>
    <row r="4">
      <c r="A4" s="12" t="inlineStr">
        <is>
          <t>T03</t>
        </is>
      </c>
      <c r="B4" s="13" t="n">
        <v>4</v>
      </c>
      <c r="C4" s="12" t="inlineStr">
        <is>
          <t>QFN32</t>
        </is>
      </c>
      <c r="D4" s="12" t="inlineStr">
        <is>
          <t>PMIC07_V2</t>
        </is>
      </c>
      <c r="E4" s="13" t="n"/>
      <c r="F4" s="13" t="n">
        <v>0</v>
      </c>
    </row>
    <row r="5">
      <c r="A5" s="12" t="inlineStr">
        <is>
          <t>T04</t>
        </is>
      </c>
      <c r="B5" s="13" t="n">
        <v>4</v>
      </c>
      <c r="C5" s="13" t="n"/>
      <c r="D5" s="13" t="n"/>
      <c r="E5" s="12" t="inlineStr">
        <is>
          <t>SOP16|TSSOP28</t>
        </is>
      </c>
      <c r="F5" s="13" t="n">
        <v>0</v>
      </c>
    </row>
    <row r="6">
      <c r="A6" s="12" t="inlineStr">
        <is>
          <t>T05</t>
        </is>
      </c>
      <c r="B6" s="13" t="n">
        <v>2</v>
      </c>
      <c r="C6" s="12" t="inlineStr">
        <is>
          <t>SOP16</t>
        </is>
      </c>
      <c r="D6" s="12" t="inlineStr">
        <is>
          <t>LED03_V1</t>
        </is>
      </c>
      <c r="E6" s="12" t="inlineStr">
        <is>
          <t>SOP16</t>
        </is>
      </c>
      <c r="F6" s="13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11" t="inlineStr">
        <is>
          <t>機台</t>
        </is>
      </c>
      <c r="B1" s="11" t="inlineStr">
        <is>
          <t>sites</t>
        </is>
      </c>
      <c r="C1" s="11" t="inlineStr">
        <is>
          <t>QFN32</t>
        </is>
      </c>
      <c r="D1" s="11" t="inlineStr">
        <is>
          <t>QFN48</t>
        </is>
      </c>
      <c r="E1" s="11" t="inlineStr">
        <is>
          <t>SOP16</t>
        </is>
      </c>
      <c r="F1" s="11" t="inlineStr">
        <is>
          <t>TSSOP28</t>
        </is>
      </c>
      <c r="G1" s="11" t="inlineStr">
        <is>
          <t>目前裝著的 Kit</t>
        </is>
      </c>
      <c r="H1" s="11" t="inlineStr">
        <is>
          <t>目前程式</t>
        </is>
      </c>
      <c r="I1" s="11" t="inlineStr">
        <is>
          <t>幾小時後可用</t>
        </is>
      </c>
    </row>
    <row r="2">
      <c r="A2" s="12" t="inlineStr">
        <is>
          <t>T01</t>
        </is>
      </c>
      <c r="B2" s="13" t="n">
        <v>8</v>
      </c>
      <c r="C2" s="14" t="inlineStr">
        <is>
          <t>✔</t>
        </is>
      </c>
      <c r="D2" s="15" t="inlineStr">
        <is>
          <t>✔</t>
        </is>
      </c>
      <c r="E2" s="16" t="inlineStr"/>
      <c r="F2" s="16" t="inlineStr"/>
      <c r="G2" s="12" t="inlineStr">
        <is>
          <t>QFN48</t>
        </is>
      </c>
      <c r="H2" s="12" t="inlineStr">
        <is>
          <t>MCU01_V3</t>
        </is>
      </c>
      <c r="I2" s="13" t="n">
        <v>0</v>
      </c>
    </row>
    <row r="3">
      <c r="A3" s="12" t="inlineStr">
        <is>
          <t>T02</t>
        </is>
      </c>
      <c r="B3" s="13" t="n">
        <v>8</v>
      </c>
      <c r="C3" s="14" t="inlineStr">
        <is>
          <t>✔</t>
        </is>
      </c>
      <c r="D3" s="15" t="inlineStr">
        <is>
          <t>✔</t>
        </is>
      </c>
      <c r="E3" s="16" t="inlineStr"/>
      <c r="F3" s="16" t="inlineStr"/>
      <c r="G3" s="12" t="inlineStr">
        <is>
          <t>QFN48</t>
        </is>
      </c>
      <c r="H3" s="12" t="inlineStr">
        <is>
          <t>MCU01_V5</t>
        </is>
      </c>
      <c r="I3" s="13" t="n">
        <v>0</v>
      </c>
    </row>
    <row r="4">
      <c r="A4" s="12" t="inlineStr">
        <is>
          <t>T03</t>
        </is>
      </c>
      <c r="B4" s="13" t="n">
        <v>4</v>
      </c>
      <c r="C4" s="15" t="inlineStr">
        <is>
          <t>✔</t>
        </is>
      </c>
      <c r="D4" s="14" t="inlineStr">
        <is>
          <t>✔</t>
        </is>
      </c>
      <c r="E4" s="14" t="inlineStr">
        <is>
          <t>✔</t>
        </is>
      </c>
      <c r="F4" s="14" t="inlineStr">
        <is>
          <t>✔</t>
        </is>
      </c>
      <c r="G4" s="12" t="inlineStr">
        <is>
          <t>QFN32</t>
        </is>
      </c>
      <c r="H4" s="12" t="inlineStr">
        <is>
          <t>PMIC07_V2</t>
        </is>
      </c>
      <c r="I4" s="13" t="n">
        <v>0</v>
      </c>
    </row>
    <row r="5">
      <c r="A5" s="12" t="inlineStr">
        <is>
          <t>T04</t>
        </is>
      </c>
      <c r="B5" s="13" t="n">
        <v>4</v>
      </c>
      <c r="C5" s="16" t="inlineStr"/>
      <c r="D5" s="16" t="inlineStr"/>
      <c r="E5" s="14" t="inlineStr">
        <is>
          <t>✔</t>
        </is>
      </c>
      <c r="F5" s="14" t="inlineStr">
        <is>
          <t>✔</t>
        </is>
      </c>
      <c r="G5" s="13" t="n"/>
      <c r="H5" s="13" t="n"/>
      <c r="I5" s="13" t="n">
        <v>0</v>
      </c>
    </row>
    <row r="6">
      <c r="A6" s="12" t="inlineStr">
        <is>
          <t>T05</t>
        </is>
      </c>
      <c r="B6" s="13" t="n">
        <v>2</v>
      </c>
      <c r="C6" s="16" t="inlineStr"/>
      <c r="D6" s="16" t="inlineStr"/>
      <c r="E6" s="15" t="inlineStr">
        <is>
          <t>✔</t>
        </is>
      </c>
      <c r="F6" s="16" t="inlineStr"/>
      <c r="G6" s="12" t="inlineStr">
        <is>
          <t>SOP16</t>
        </is>
      </c>
      <c r="H6" s="12" t="inlineStr">
        <is>
          <t>LED03_V1</t>
        </is>
      </c>
      <c r="I6" s="13" t="n">
        <v>4</v>
      </c>
    </row>
    <row r="8">
      <c r="A8" s="4" t="inlineStr">
        <is>
          <t>能測這種封裝的機台數</t>
        </is>
      </c>
      <c r="C8" s="17">
        <f>COUNTIF(C2:C6,"✔")</f>
        <v/>
      </c>
      <c r="D8" s="17">
        <f>COUNTIF(D2:D6,"✔")</f>
        <v/>
      </c>
      <c r="E8" s="17">
        <f>COUNTIF(E2:E6,"✔")</f>
        <v/>
      </c>
      <c r="F8" s="17">
        <f>COUNTIF(F2:F6,"✔")</f>
        <v/>
      </c>
    </row>
    <row r="9">
      <c r="A9" s="4" t="inlineStr">
        <is>
          <t>能測這種封裝的 site 合計</t>
        </is>
      </c>
      <c r="C9" s="17">
        <f>SUMIF(C2:C6,"✔",$B$2:$B$6)</f>
        <v/>
      </c>
      <c r="D9" s="17">
        <f>SUMIF(D2:D6,"✔",$B$2:$B$6)</f>
        <v/>
      </c>
      <c r="E9" s="17">
        <f>SUMIF(E2:E6,"✔",$B$2:$B$6)</f>
        <v/>
      </c>
      <c r="F9" s="17">
        <f>SUMIF(F2:F6,"✔",$B$2:$B$6)</f>
        <v/>
      </c>
    </row>
    <row r="10">
      <c r="A10" s="4" t="inlineStr">
        <is>
          <t>目前正裝著這種 Kit 的 site</t>
        </is>
      </c>
      <c r="C10" s="17">
        <f>SUMIF($G$2:$G$6,C$1,$B$2:$B$6)</f>
        <v/>
      </c>
      <c r="D10" s="17">
        <f>SUMIF($G$2:$G$6,D$1,$B$2:$B$6)</f>
        <v/>
      </c>
      <c r="E10" s="17">
        <f>SUMIF($G$2:$G$6,E$1,$B$2:$B$6)</f>
        <v/>
      </c>
      <c r="F10" s="17">
        <f>SUMIF($G$2:$G$6,F$1,$B$2:$B$6)</f>
        <v/>
      </c>
    </row>
    <row r="11">
      <c r="A11" s="4" t="inlineStr">
        <is>
          <t>這批貨的工時（分，1 site）</t>
        </is>
      </c>
      <c r="C11" s="17">
        <f>SUMPRODUCT((貨批!$B$2:$B$5000=C$1)*貨批!$D$2:$D$5000*貨批!$E$2:$E$5000)/60</f>
        <v/>
      </c>
      <c r="D11" s="17">
        <f>SUMPRODUCT((貨批!$B$2:$B$5000=D$1)*貨批!$D$2:$D$5000*貨批!$E$2:$E$5000)/60</f>
        <v/>
      </c>
      <c r="E11" s="17">
        <f>SUMPRODUCT((貨批!$B$2:$B$5000=E$1)*貨批!$D$2:$D$5000*貨批!$E$2:$E$5000)/60</f>
        <v/>
      </c>
      <c r="F11" s="17">
        <f>SUMPRODUCT((貨批!$B$2:$B$5000=F$1)*貨批!$D$2:$D$5000*貨批!$E$2:$E$5000)/60</f>
        <v/>
      </c>
    </row>
    <row r="12">
      <c r="A12" s="18" t="inlineStr">
        <is>
          <t>若完全不換 Kit，要跑幾小時</t>
        </is>
      </c>
      <c r="C12" s="19">
        <f>IFERROR(C11/C10/60,"—")</f>
        <v/>
      </c>
      <c r="D12" s="19">
        <f>IFERROR(D11/D10/60,"—")</f>
        <v/>
      </c>
      <c r="E12" s="19">
        <f>IFERROR(E11/E10/60,"—")</f>
        <v/>
      </c>
      <c r="F12" s="19">
        <f>IFERROR(F11/F10/60,"—")</f>
        <v/>
      </c>
    </row>
    <row r="14">
      <c r="A14" s="2" t="inlineStr">
        <is>
          <t>✔ ＝ 這台機可以測這種封裝。要改就直接在格子裡打勾或清掉，模擬器以這頁為準。</t>
        </is>
      </c>
    </row>
    <row r="15">
      <c r="A15" s="2" t="inlineStr">
        <is>
          <t>（打勾符號用 ✔ V O Y 1 都可以；留白或填 X 就是不能測。整列都沒勾＝視為全部都能測。）</t>
        </is>
      </c>
    </row>
    <row r="16">
      <c r="A16" s="2" t="inlineStr">
        <is>
          <t>黃底 ＝ 這台機「現在」裝著的 Kit，也就是機隊此刻停在什麼配置。</t>
        </is>
      </c>
    </row>
    <row r="17">
      <c r="A17" s="2" t="inlineStr">
        <is>
          <t>最後一列是重點：把機隊凍結在現在的配置（完全不換 Kit），每種封裝各要跑多久。</t>
        </is>
      </c>
    </row>
    <row r="18">
      <c r="A18" s="2" t="inlineStr">
        <is>
          <t>哪一種明顯偏高，就是這批貨的瓶頸——代表它的量和現在裝著它的 site 數對不上，得先換 Kit 把配置拉回來。</t>
        </is>
      </c>
    </row>
    <row r="19">
      <c r="A19" s="2" t="inlineStr">
        <is>
          <t>刪掉整頁也可以，模擬器會改用「機台」分頁的 can_packages。</t>
        </is>
      </c>
    </row>
    <row r="20">
      <c r="A20" s="2" t="inlineStr">
        <is>
          <t>機台清單（台數、sites、目前 Kit、幾小時後可用）仍然以「機台」分頁為準，這頁只決定能力。</t>
        </is>
      </c>
    </row>
    <row r="21">
      <c r="A21" s="2" t="inlineStr">
        <is>
          <t>要加機台：在現有的列中間「插入列」，下面的統計公式會自己跟著長；直接往最後一列底下打字則不會。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 ht="22" customHeight="1">
      <c r="A1" s="11" t="inlineStr">
        <is>
          <t>package</t>
        </is>
      </c>
      <c r="B1" s="11" t="inlineStr">
        <is>
          <t>kits</t>
        </is>
      </c>
    </row>
    <row r="2">
      <c r="A2" s="9" t="inlineStr">
        <is>
          <t>QFN32</t>
        </is>
      </c>
      <c r="B2" s="20" t="n">
        <v>2</v>
      </c>
    </row>
    <row r="3">
      <c r="A3" s="9" t="inlineStr">
        <is>
          <t>QFN48</t>
        </is>
      </c>
      <c r="B3" s="20" t="n">
        <v>2</v>
      </c>
    </row>
    <row r="4">
      <c r="A4" s="9" t="inlineStr">
        <is>
          <t>SOP16</t>
        </is>
      </c>
      <c r="B4" s="20" t="n">
        <v>2</v>
      </c>
    </row>
    <row r="5">
      <c r="A5" s="9" t="inlineStr">
        <is>
          <t>TSSOP28</t>
        </is>
      </c>
      <c r="B5" s="20" t="n">
        <v>1</v>
      </c>
    </row>
    <row r="7">
      <c r="A7" s="2" t="inlineStr">
        <is>
          <t>每種封裝有幾套 Kit 治具 —— 同一時間最多只有這麼多台機能裝著它。</t>
        </is>
      </c>
    </row>
    <row r="8">
      <c r="A8" s="2" t="inlineStr">
        <is>
          <t>留白 ＝ 這種封裝的治具不限量；整頁刪掉 ＝ 全部都不限量（跟舊版行為一樣）。</t>
        </is>
      </c>
    </row>
    <row r="9">
      <c r="A9" s="2" t="inlineStr">
        <is>
          <t>機台想換到某個 Kit，但該封裝的治具都在別台機上時，它會停下來等，</t>
        </is>
      </c>
    </row>
    <row r="10">
      <c r="A10" s="2" t="inlineStr">
        <is>
          <t>時間軸上會顯示為「等 Kit」（灰色），跑分表也會多一欄「等 Kit 分鐘」。</t>
        </is>
      </c>
    </row>
    <row r="11">
      <c r="A11" s="2" t="inlineStr">
        <is>
          <t>閒置且待接區沒有同封裝批的機台，身上的治具會被搬走給需要的機台（比照現場實務）。</t>
        </is>
      </c>
    </row>
    <row r="12">
      <c r="A12" s="2" t="inlineStr">
        <is>
          <t>開局時如果裝著某封裝的機台數超過套數，多出來的會被當成空機。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2026-09-30T02:54:17Z</dcterms:created>
  <dcterms:modified xmlns:dcterms="http://purl.org/dc/terms/" xmlns:xsi="http://www.w3.org/2001/XMLSchema-instance" xsi:type="dcterms:W3CDTF">2026-09-30T02:54:17Z</dcterms:modified>
</cp:coreProperties>
</file>